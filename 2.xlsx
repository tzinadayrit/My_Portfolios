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6"/>
  </bookViews>
  <sheets>
    <sheet name="Data Cleaning Start" sheetId="2" r:id="rId1"/>
    <sheet name="Data Cleaning Start (2)" sheetId="3" r:id="rId2"/>
    <sheet name="Client" sheetId="4" r:id="rId3"/>
    <sheet name="State" sheetId="5" r:id="rId4"/>
    <sheet name="Payment_dim" sheetId="6" r:id="rId5"/>
    <sheet name="Department" sheetId="7" r:id="rId6"/>
    <sheet name="VLookUp" sheetId="8" r:id="rId7"/>
  </sheets>
  <definedNames>
    <definedName name="_xlcn.WorksheetConnection___DataCleaning_DayritTzina.xlsxClient1" hidden="1">Client[]</definedName>
    <definedName name="_xlcn.WorksheetConnection___DataCleaning_DayritTzina.xlsxdepartment_dim1" hidden="1">department_dim[]</definedName>
    <definedName name="_xlcn.WorksheetConnection___DataCleaning_DayritTzina.xlsxpayment_dim1" hidden="1">payment_dim[]</definedName>
    <definedName name="_xlcn.WorksheetConnection___DataCleaning_DayritTzina.xlsxrevenue_dim1" hidden="1">revenue_fact[]</definedName>
    <definedName name="_xlcn.WorksheetConnection___DataCleaning_DayritTzina.xlsxStates_dim1" hidden="1">States_dim[]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Client" name="Client" connection="WorksheetConnection___Data Cleaning_Dayrit, Tzina.xlsx!Client"/>
          <x15:modelTable id="revenue_dim" name="revenue_dim" connection="WorksheetConnection___Data Cleaning_Dayrit, Tzina.xlsx!revenue_dim"/>
          <x15:modelTable id="department_dim" name="department_dim" connection="WorksheetConnection___Data Cleaning_Dayrit, Tzina.xlsx!department_dim"/>
          <x15:modelTable id="payment_dim" name="payment_dim" connection="WorksheetConnection___Data Cleaning_Dayrit, Tzina.xlsx!payment_dim"/>
          <x15:modelTable id="States_dim" name="States_dim" connection="WorksheetConnection___Data Cleaning_Dayrit, Tzina.xlsx!States_dim"/>
        </x15:modelTables>
        <x15:modelRelationships>
          <x15:modelRelationship fromTable="revenue_dim" fromColumn="department_id" toTable="department_dim" toColumn="department_id"/>
          <x15:modelRelationship fromTable="revenue_dim" fromColumn="payment_id" toTable="payment_dim" toColumn="payment_id"/>
          <x15:modelRelationship fromTable="revenue_dim" fromColumn="state_id" toTable="States_dim" toColumn="state_id"/>
          <x15:modelRelationship fromTable="revenue_dim" fromColumn="client_id" toTable="Client" toColumn="cli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8" l="1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5" i="8" s="1"/>
  <c r="I6" i="8"/>
  <c r="I4" i="8"/>
  <c r="I3" i="8"/>
  <c r="H34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K34" i="8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__Data Cleaning_Dayrit, Tzina.xlsx!Client" type="102" refreshedVersion="6" minRefreshableVersion="5">
    <extLst>
      <ext xmlns:x15="http://schemas.microsoft.com/office/spreadsheetml/2010/11/main" uri="{DE250136-89BD-433C-8126-D09CA5730AF9}">
        <x15:connection id="Client">
          <x15:rangePr sourceName="_xlcn.WorksheetConnection___DataCleaning_DayritTzina.xlsxClient1"/>
        </x15:connection>
      </ext>
    </extLst>
  </connection>
  <connection id="3" name="WorksheetConnection___Data Cleaning_Dayrit, Tzina.xlsx!department_dim" type="102" refreshedVersion="6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__DataCleaning_DayritTzina.xlsxdepartment_dim1"/>
        </x15:connection>
      </ext>
    </extLst>
  </connection>
  <connection id="4" name="WorksheetConnection___Data Cleaning_Dayrit, Tzina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__DataCleaning_DayritTzina.xlsxpayment_dim1"/>
        </x15:connection>
      </ext>
    </extLst>
  </connection>
  <connection id="5" name="WorksheetConnection___Data Cleaning_Dayrit, Tzina.xlsx!revenue_dim" type="102" refreshedVersion="6" minRefreshableVersion="5">
    <extLst>
      <ext xmlns:x15="http://schemas.microsoft.com/office/spreadsheetml/2010/11/main" uri="{DE250136-89BD-433C-8126-D09CA5730AF9}">
        <x15:connection id="revenue_dim">
          <x15:rangePr sourceName="_xlcn.WorksheetConnection___DataCleaning_DayritTzina.xlsxrevenue_dim1"/>
        </x15:connection>
      </ext>
    </extLst>
  </connection>
  <connection id="6" name="WorksheetConnection___Data Cleaning_Dayrit, Tzina.xlsx!States_dim" type="102" refreshedVersion="6" minRefreshableVersion="5">
    <extLst>
      <ext xmlns:x15="http://schemas.microsoft.com/office/spreadsheetml/2010/11/main" uri="{DE250136-89BD-433C-8126-D09CA5730AF9}">
        <x15:connection id="States_dim">
          <x15:rangePr sourceName="_xlcn.WorksheetConnection___DataCleaning_DayritTzina.xlsxStates_dim1"/>
        </x15:connection>
      </ext>
    </extLst>
  </connection>
</connections>
</file>

<file path=xl/sharedStrings.xml><?xml version="1.0" encoding="utf-8"?>
<sst xmlns="http://schemas.openxmlformats.org/spreadsheetml/2006/main" count="581" uniqueCount="209">
  <si>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</si>
  <si>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</si>
  <si>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</si>
  <si>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</si>
  <si>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</si>
  <si>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</si>
  <si>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</si>
  <si>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</si>
  <si>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</si>
  <si>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</si>
  <si>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</si>
  <si>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</si>
  <si>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</si>
  <si>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</si>
  <si>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</si>
  <si>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</si>
  <si>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</si>
  <si>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</si>
  <si>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</si>
  <si>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</si>
  <si>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</si>
  <si>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</si>
  <si>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</si>
  <si>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</si>
  <si>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</si>
  <si>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</si>
  <si>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</si>
  <si>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</si>
  <si>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</si>
  <si>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</si>
  <si>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</si>
  <si>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</si>
  <si>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</si>
  <si>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</si>
  <si>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</si>
  <si>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</si>
  <si>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</si>
  <si>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</si>
  <si>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</si>
  <si>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</si>
  <si>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</si>
  <si>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</si>
  <si>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</si>
  <si>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</si>
  <si>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</si>
  <si>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</si>
  <si>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</si>
  <si>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</si>
  <si>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</si>
  <si>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</si>
  <si>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</si>
  <si>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</si>
  <si>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</si>
  <si>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</si>
  <si>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</si>
  <si>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</si>
  <si>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</si>
  <si>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</si>
  <si>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</si>
  <si>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</si>
  <si>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</si>
  <si>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</si>
  <si>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</si>
  <si>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</si>
  <si>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</si>
  <si>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</si>
  <si>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</si>
  <si>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</si>
  <si>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</si>
  <si>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</si>
  <si>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</si>
  <si>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</si>
  <si>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trans_id</t>
  </si>
  <si>
    <t>client_id</t>
  </si>
  <si>
    <t>department_id</t>
  </si>
  <si>
    <t>state_id</t>
  </si>
  <si>
    <t>payment_id</t>
  </si>
  <si>
    <t>t-101</t>
  </si>
  <si>
    <t xml:space="preserve">AMAZON.COM, INC.  </t>
  </si>
  <si>
    <t>Bill Smith</t>
  </si>
  <si>
    <t>Cloud Tech</t>
  </si>
  <si>
    <t>Texas</t>
  </si>
  <si>
    <t>t-102</t>
  </si>
  <si>
    <t xml:space="preserve">TESLA, INC.  </t>
  </si>
  <si>
    <t>Ken Singh</t>
  </si>
  <si>
    <t>Strategy</t>
  </si>
  <si>
    <t>New York</t>
  </si>
  <si>
    <t>t-103</t>
  </si>
  <si>
    <t xml:space="preserve">NETFLIX, INC.  </t>
  </si>
  <si>
    <t>Harley Fritz</t>
  </si>
  <si>
    <t>Others</t>
  </si>
  <si>
    <t>t-104</t>
  </si>
  <si>
    <t xml:space="preserve">THE PROCTER &amp; GAMBLE COMPANY  </t>
  </si>
  <si>
    <t>Operations</t>
  </si>
  <si>
    <t>Florida</t>
  </si>
  <si>
    <t>t-105</t>
  </si>
  <si>
    <t xml:space="preserve">THE GOLDMAN SACHS GROUP, INC.  </t>
  </si>
  <si>
    <t>David Rasmussen</t>
  </si>
  <si>
    <t>t-106</t>
  </si>
  <si>
    <t xml:space="preserve">JPMORGAN CHASE &amp; CO.  </t>
  </si>
  <si>
    <t>Ivan Hiney</t>
  </si>
  <si>
    <t>t-107</t>
  </si>
  <si>
    <t xml:space="preserve">MORGAN STANLEY  </t>
  </si>
  <si>
    <t>Jonha Ma</t>
  </si>
  <si>
    <t>t-108</t>
  </si>
  <si>
    <t xml:space="preserve">CITIGROUP INC.  </t>
  </si>
  <si>
    <t>Jordan Boone</t>
  </si>
  <si>
    <t>t-109</t>
  </si>
  <si>
    <t xml:space="preserve">BANK OF AMERICA CORPORATION  </t>
  </si>
  <si>
    <t>t-110</t>
  </si>
  <si>
    <t xml:space="preserve">WALMART INC.  </t>
  </si>
  <si>
    <t>t-111</t>
  </si>
  <si>
    <t xml:space="preserve">TARGET CORPORATION  </t>
  </si>
  <si>
    <t>Brendan Wallace</t>
  </si>
  <si>
    <t>t-112</t>
  </si>
  <si>
    <t xml:space="preserve">COSTCO WHOLESALE CORPORATION  </t>
  </si>
  <si>
    <t>Conor Wise</t>
  </si>
  <si>
    <t>t-113</t>
  </si>
  <si>
    <t xml:space="preserve">MCDONALD'S CORPORATION  </t>
  </si>
  <si>
    <t>Steven Michael</t>
  </si>
  <si>
    <t>Big Data</t>
  </si>
  <si>
    <t>California</t>
  </si>
  <si>
    <t>t-114</t>
  </si>
  <si>
    <t xml:space="preserve">EXXON MOBIL CORPORATION  </t>
  </si>
  <si>
    <t>t-115</t>
  </si>
  <si>
    <t xml:space="preserve">VERIZON COMMUNICATIONS INC.  </t>
  </si>
  <si>
    <t>Jose Roach</t>
  </si>
  <si>
    <t>t-116</t>
  </si>
  <si>
    <t xml:space="preserve">THE HOME DEPOT, INC.  </t>
  </si>
  <si>
    <t>Franklin Wrigt</t>
  </si>
  <si>
    <t>t-117</t>
  </si>
  <si>
    <t xml:space="preserve">CISCO SYSTEMS, INC.  </t>
  </si>
  <si>
    <t>Alia Thornton</t>
  </si>
  <si>
    <t>t-118</t>
  </si>
  <si>
    <t xml:space="preserve">CHEVRON CORPORATION  </t>
  </si>
  <si>
    <t>Denzel Flores</t>
  </si>
  <si>
    <t>t-119</t>
  </si>
  <si>
    <t xml:space="preserve">AT&amp;T INC.  </t>
  </si>
  <si>
    <t>Bruno Cordova</t>
  </si>
  <si>
    <t>t-120</t>
  </si>
  <si>
    <t xml:space="preserve">INTEL CORPORATION  </t>
  </si>
  <si>
    <t>Jaylynn Napp</t>
  </si>
  <si>
    <t>t-121</t>
  </si>
  <si>
    <t xml:space="preserve">GENERAL MOTORS COMPANY  </t>
  </si>
  <si>
    <t>Bruce Rich</t>
  </si>
  <si>
    <t>t-122</t>
  </si>
  <si>
    <t xml:space="preserve">MICROSOFT CORPORATION  </t>
  </si>
  <si>
    <t>Arturo Moore</t>
  </si>
  <si>
    <t>t-123</t>
  </si>
  <si>
    <t xml:space="preserve">COMCAST CORPORATION  </t>
  </si>
  <si>
    <t>Bryce Carpenter</t>
  </si>
  <si>
    <t>t-124</t>
  </si>
  <si>
    <t xml:space="preserve">DELL TECHNOLOGIES INC.  </t>
  </si>
  <si>
    <t>Jaidyn Andersen</t>
  </si>
  <si>
    <t>t-125</t>
  </si>
  <si>
    <t xml:space="preserve">JOHNSON &amp; JOHNSON  </t>
  </si>
  <si>
    <t>Mark Walm</t>
  </si>
  <si>
    <t>t-126</t>
  </si>
  <si>
    <t xml:space="preserve">FEDEX CORPORATION  </t>
  </si>
  <si>
    <t>Harry Lee</t>
  </si>
  <si>
    <t>t-127</t>
  </si>
  <si>
    <t xml:space="preserve">GENERAL ELECTRIC COMPANY  </t>
  </si>
  <si>
    <t>Josh Johnson</t>
  </si>
  <si>
    <t>t-128</t>
  </si>
  <si>
    <t xml:space="preserve">LOCKHEED MARTIN CORPORATION  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</si>
  <si>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</si>
  <si>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</si>
  <si>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</si>
  <si>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</si>
  <si>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</si>
  <si>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</si>
  <si>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</si>
  <si>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</si>
  <si>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</si>
  <si>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</si>
  <si>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</si>
  <si>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</si>
  <si>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</si>
  <si>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</si>
  <si>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</si>
  <si>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</si>
  <si>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</si>
  <si>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</si>
  <si>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</si>
  <si>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</si>
  <si>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</si>
  <si>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</si>
  <si>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</si>
  <si>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</si>
  <si>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</si>
  <si>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</si>
  <si>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</si>
  <si>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</si>
  <si>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States</t>
  </si>
  <si>
    <t>s-101</t>
  </si>
  <si>
    <t>s-102</t>
  </si>
  <si>
    <t>s-104</t>
  </si>
  <si>
    <t>s-113</t>
  </si>
  <si>
    <t>p-101</t>
  </si>
  <si>
    <t>p-102</t>
  </si>
  <si>
    <t>p-103</t>
  </si>
  <si>
    <t>p-105</t>
  </si>
  <si>
    <t>p-109</t>
  </si>
  <si>
    <t>d-101</t>
  </si>
  <si>
    <t>d-102</t>
  </si>
  <si>
    <t>d-104</t>
  </si>
  <si>
    <t>d-113</t>
  </si>
  <si>
    <t>t-129</t>
  </si>
  <si>
    <t>d-112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</si>
</sst>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9" formatCode="_-[$$-409]* #,##0.00_ ;_-[$$-409]* \-#,##0.00\ ;_-[$$-409]* &quot;-&quot;??_ ;_-@_ "/>
    <numFmt numFmtId="170" formatCode="0.0%"/>
  </numFmts>
  <fonts count="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14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0" fontId="3" fillId="0" borderId="0" xfId="1" applyNumberFormat="1" applyFont="1"/>
  </cellXfs>
  <cellStyles count="2">
    <cellStyle name="Normal" xfId="0" builtinId="0"/>
    <cellStyle name="Per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0" formatCode="0.0%"/>
    </dxf>
    <dxf>
      <numFmt numFmtId="169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9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2" name="Client" displayName="Client" ref="A2:C30" totalsRowShown="0" headerRowDxfId="0">
  <autoFilter ref="A2:C30"/>
  <tableColumns count="3">
    <tableColumn id="1" name="Client"/>
    <tableColumn id="2" name="client_id"/>
    <tableColumn id="3" name="Contac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3" name="States_dim" displayName="States_dim" ref="A2:B6" totalsRowShown="0">
  <autoFilter ref="A2:B6"/>
  <tableColumns count="2">
    <tableColumn id="1" name="States"/>
    <tableColumn id="2" name="state_id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4" name="payment_dim" displayName="payment_dim" ref="A2:B7" totalsRowShown="0">
  <autoFilter ref="A2:B7"/>
  <tableColumns count="2">
    <tableColumn id="1" name="payment_id"/>
    <tableColumn id="2" name="Paymen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5" name="department_dim" displayName="department_dim" ref="A2:B6" totalsRowShown="0">
  <autoFilter ref="A2:B6"/>
  <tableColumns count="2">
    <tableColumn id="1" name="Department"/>
    <tableColumn id="2" name="department_id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1" name="revenue_fact" displayName="revenue_fact" ref="A2:I31" totalsRowShown="0" headerRowDxfId="1">
  <autoFilter ref="A2:I31"/>
  <tableColumns count="9">
    <tableColumn id="1" name="trans_id"/>
    <tableColumn id="2" name="Date" dataDxfId="5"/>
    <tableColumn id="3" name="client_id"/>
    <tableColumn id="4" name="department_id"/>
    <tableColumn id="5" name="state_id"/>
    <tableColumn id="6" name="payment_id"/>
    <tableColumn id="7" name="Revenue" dataDxfId="4"/>
    <tableColumn id="8" name="Profit" dataDxfId="3"/>
    <tableColumn id="9" name="Profit Margin" dataDxfId="2" dataCellStyle="Percent">
      <calculatedColumnFormula>IFERROR(H3/G3,0)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43" zoomScaleNormal="43" workbookViewId="0">
      <selection activeCell="B8" sqref="B8"/>
    </sheetView>
  </sheetViews>
  <sheetFormatPr defaultColWidth="11" defaultRowHeight="15.75"/>
  <cols>
    <col min="1" max="1" width="6.625" customWidth="1"/>
    <col min="2" max="2" width="10.875" customWidth="1"/>
    <col min="3" max="3" width="43.125" customWidth="1"/>
    <col min="4" max="5" width="16.875" customWidth="1"/>
    <col min="6" max="6" width="8.25" customWidth="1"/>
    <col min="7" max="7" width="7.875" customWidth="1"/>
    <col min="8" max="8" width="7.25" customWidth="1"/>
    <col min="9" max="9" width="11.75" customWidth="1"/>
  </cols>
  <sheetData>
    <row r="2" spans="2:9">
      <c r="B2" t="s">
        <v>0</v>
      </c>
      <c r="C2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</row>
    <row r="3" spans="2:9">
      <c r="B3" s="3">
        <v>45076</v>
      </c>
      <c r="C3" t="s">
        <v>8</v>
      </c>
      <c r="D3" t="s">
        <v>9</v>
      </c>
      <c r="E3" t="s">
        <v>10</v>
      </c>
      <c r="F3" t="s">
        <v>11</v>
      </c>
      <c r="G3" s="6">
        <v>4500</v>
      </c>
      <c r="H3" s="6">
        <v>598</v>
      </c>
      <c r="I3" s="5">
        <f>H3/G3</f>
        <v>0.132888888888889</v>
      </c>
    </row>
    <row r="4" spans="2:9">
      <c r="B4" s="3">
        <v>45076</v>
      </c>
      <c r="C4" t="s">
        <v>12</v>
      </c>
      <c r="D4" t="s">
        <v>13</v>
      </c>
      <c r="E4" t="s">
        <v>14</v>
      </c>
      <c r="F4" t="s">
        <v>15</v>
      </c>
      <c r="G4" s="6">
        <v>3800</v>
      </c>
      <c r="H4" s="6">
        <v>1045</v>
      </c>
      <c r="I4" s="5">
        <f t="shared" ref="I4:I32" si="0">H4/G4</f>
        <v>0.27500000000000002</v>
      </c>
    </row>
    <row r="5" spans="2:9">
      <c r="B5" s="3">
        <v>45076</v>
      </c>
      <c r="C5" t="s">
        <v>16</v>
      </c>
      <c r="D5" t="s">
        <v>17</v>
      </c>
      <c r="E5" t="s">
        <v>14</v>
      </c>
      <c r="G5" s="6">
        <v>3712.5</v>
      </c>
      <c r="H5" s="6">
        <v>1009</v>
      </c>
      <c r="I5" s="5">
        <f t="shared" si="0"/>
        <v>0.27178451178451202</v>
      </c>
    </row>
    <row r="6" spans="2:9">
      <c r="B6" s="3">
        <v>45076</v>
      </c>
      <c r="C6" t="s">
        <v>18</v>
      </c>
      <c r="D6" t="s">
        <v>19</v>
      </c>
      <c r="E6" t="s">
        <v>20</v>
      </c>
      <c r="G6" s="6"/>
      <c r="H6" s="6">
        <v>779</v>
      </c>
      <c r="I6" s="5" t="e">
        <f t="shared" si="0"/>
        <v>#DIV/0!</v>
      </c>
    </row>
    <row r="7" spans="2:9">
      <c r="B7" s="3">
        <v>45076</v>
      </c>
      <c r="C7" t="s">
        <v>21</v>
      </c>
      <c r="D7" t="s">
        <v>22</v>
      </c>
      <c r="E7" t="s">
        <v>20</v>
      </c>
      <c r="F7" t="s">
        <v>23</v>
      </c>
      <c r="G7" s="6">
        <v>5000</v>
      </c>
      <c r="H7" s="6">
        <v>684</v>
      </c>
      <c r="I7" s="5">
        <f t="shared" si="0"/>
        <v>0.1368</v>
      </c>
    </row>
    <row r="8" spans="2:9" ht="51" customHeight="1">
      <c r="B8" s="3">
        <v>45077</v>
      </c>
      <c r="C8" t="s">
        <v>24</v>
      </c>
      <c r="D8" t="s">
        <v>25</v>
      </c>
      <c r="E8" t="s">
        <v>10</v>
      </c>
      <c r="F8" t="s">
        <v>11</v>
      </c>
      <c r="G8" s="6">
        <v>6100</v>
      </c>
      <c r="H8" s="6">
        <v>544</v>
      </c>
      <c r="I8" s="5">
        <f t="shared" si="0"/>
        <v>8.9180327868852494E-2</v>
      </c>
    </row>
    <row r="9" spans="2:9">
      <c r="B9" s="3">
        <v>45077</v>
      </c>
      <c r="C9" t="s">
        <v>26</v>
      </c>
      <c r="D9" t="s">
        <v>27</v>
      </c>
      <c r="E9" t="s">
        <v>10</v>
      </c>
      <c r="F9" t="s">
        <v>11</v>
      </c>
      <c r="G9" s="6">
        <v>4625</v>
      </c>
      <c r="H9" s="6">
        <v>670</v>
      </c>
      <c r="I9" s="5">
        <f t="shared" si="0"/>
        <v>0.144864864864865</v>
      </c>
    </row>
    <row r="10" spans="2:9">
      <c r="B10" s="3">
        <v>45077</v>
      </c>
      <c r="C10" t="s">
        <v>28</v>
      </c>
      <c r="D10" t="s">
        <v>29</v>
      </c>
      <c r="E10" t="s">
        <v>10</v>
      </c>
      <c r="F10" t="s">
        <v>11</v>
      </c>
      <c r="G10" s="6">
        <v>3800</v>
      </c>
      <c r="H10" s="6">
        <v>2045</v>
      </c>
      <c r="I10" s="5">
        <f t="shared" si="0"/>
        <v>0.53815789473684195</v>
      </c>
    </row>
    <row r="11" spans="2:9">
      <c r="B11" s="3">
        <v>45077</v>
      </c>
      <c r="C11" t="s">
        <v>30</v>
      </c>
      <c r="D11" t="s">
        <v>31</v>
      </c>
      <c r="E11" t="s">
        <v>10</v>
      </c>
      <c r="F11" t="s">
        <v>32</v>
      </c>
      <c r="G11" s="6">
        <v>3600</v>
      </c>
      <c r="H11" s="6">
        <v>1564</v>
      </c>
      <c r="I11" s="5">
        <f t="shared" si="0"/>
        <v>0.43444444444444402</v>
      </c>
    </row>
    <row r="12" spans="2:9" ht="44.1" customHeight="1">
      <c r="B12" s="3">
        <v>45077</v>
      </c>
      <c r="C12" t="s">
        <v>33</v>
      </c>
      <c r="D12" t="s">
        <v>34</v>
      </c>
      <c r="E12" t="s">
        <v>10</v>
      </c>
      <c r="F12" t="s">
        <v>23</v>
      </c>
      <c r="G12" s="6">
        <v>5100</v>
      </c>
      <c r="H12" s="6">
        <v>1220</v>
      </c>
      <c r="I12" s="5">
        <f t="shared" si="0"/>
        <v>0.23921568627451001</v>
      </c>
    </row>
    <row r="13" spans="2:9">
      <c r="B13" s="3">
        <v>45077</v>
      </c>
      <c r="C13" t="s">
        <v>35</v>
      </c>
      <c r="D13" t="s">
        <v>36</v>
      </c>
      <c r="E13" t="s">
        <v>10</v>
      </c>
      <c r="F13" t="s">
        <v>23</v>
      </c>
      <c r="G13" s="6">
        <v>4750</v>
      </c>
      <c r="H13" s="6">
        <v>1435</v>
      </c>
      <c r="I13" s="5">
        <f t="shared" si="0"/>
        <v>0.30210526315789499</v>
      </c>
    </row>
    <row r="14" spans="2:9">
      <c r="B14" s="3">
        <v>45077</v>
      </c>
      <c r="C14" t="s">
        <v>37</v>
      </c>
      <c r="D14" t="s">
        <v>38</v>
      </c>
      <c r="E14" t="s">
        <v>20</v>
      </c>
      <c r="F14" t="s">
        <v>11</v>
      </c>
      <c r="G14" s="6">
        <v>6000</v>
      </c>
      <c r="H14" s="6">
        <v>998</v>
      </c>
      <c r="I14" s="5">
        <f t="shared" si="0"/>
        <v>0.166333333333333</v>
      </c>
    </row>
    <row r="15" spans="2:9">
      <c r="B15" s="3">
        <v>45077</v>
      </c>
      <c r="C15" t="s">
        <v>39</v>
      </c>
      <c r="D15" t="s">
        <v>40</v>
      </c>
      <c r="E15" t="s">
        <v>41</v>
      </c>
      <c r="F15" t="s">
        <v>23</v>
      </c>
      <c r="G15" s="6">
        <v>4500</v>
      </c>
      <c r="H15" s="6">
        <v>780</v>
      </c>
      <c r="I15" s="5">
        <f t="shared" si="0"/>
        <v>0.17333333333333301</v>
      </c>
    </row>
    <row r="16" spans="2:9">
      <c r="B16" s="3">
        <v>45078</v>
      </c>
      <c r="C16" t="s">
        <v>42</v>
      </c>
      <c r="D16" t="s">
        <v>43</v>
      </c>
      <c r="E16" t="s">
        <v>41</v>
      </c>
      <c r="F16" t="s">
        <v>32</v>
      </c>
      <c r="G16" s="6"/>
      <c r="H16" s="6">
        <v>1044</v>
      </c>
      <c r="I16" s="5" t="e">
        <f t="shared" si="0"/>
        <v>#DIV/0!</v>
      </c>
    </row>
    <row r="17" spans="2:9">
      <c r="B17" s="3">
        <v>45078</v>
      </c>
      <c r="C17" t="s">
        <v>44</v>
      </c>
      <c r="D17" t="s">
        <v>45</v>
      </c>
      <c r="E17" t="s">
        <v>41</v>
      </c>
      <c r="F17" t="s">
        <v>11</v>
      </c>
      <c r="G17" s="6">
        <v>3712.5</v>
      </c>
      <c r="H17" s="6">
        <v>1222</v>
      </c>
      <c r="I17" s="5">
        <f t="shared" si="0"/>
        <v>0.32915824915824898</v>
      </c>
    </row>
    <row r="18" spans="2:9" ht="38.1" customHeight="1">
      <c r="B18" s="3">
        <v>45078</v>
      </c>
      <c r="C18" t="s">
        <v>46</v>
      </c>
      <c r="D18" t="s">
        <v>47</v>
      </c>
      <c r="E18" t="s">
        <v>41</v>
      </c>
      <c r="F18" t="s">
        <v>11</v>
      </c>
      <c r="G18" s="6">
        <v>4950</v>
      </c>
      <c r="H18" s="6">
        <v>1065</v>
      </c>
      <c r="I18" s="5">
        <f t="shared" si="0"/>
        <v>0.21515151515151501</v>
      </c>
    </row>
    <row r="19" spans="2:9">
      <c r="B19" s="3">
        <v>45078</v>
      </c>
      <c r="C19" t="s">
        <v>48</v>
      </c>
      <c r="D19" t="s">
        <v>49</v>
      </c>
      <c r="E19" t="s">
        <v>20</v>
      </c>
      <c r="F19" t="s">
        <v>11</v>
      </c>
      <c r="G19" s="6">
        <v>4750</v>
      </c>
      <c r="H19" s="6">
        <v>810</v>
      </c>
      <c r="I19" s="5">
        <f t="shared" si="0"/>
        <v>0.170526315789474</v>
      </c>
    </row>
    <row r="20" spans="2:9" ht="12" customHeight="1">
      <c r="B20" s="3">
        <v>45078</v>
      </c>
      <c r="C20" t="s">
        <v>50</v>
      </c>
      <c r="D20" t="s">
        <v>51</v>
      </c>
      <c r="E20" t="s">
        <v>20</v>
      </c>
      <c r="F20" t="s">
        <v>11</v>
      </c>
      <c r="G20" s="6">
        <v>7320</v>
      </c>
      <c r="H20" s="6">
        <v>933</v>
      </c>
      <c r="I20" s="5">
        <f t="shared" si="0"/>
        <v>0.12745901639344301</v>
      </c>
    </row>
    <row r="21" spans="2:9">
      <c r="B21" s="3">
        <v>45077</v>
      </c>
      <c r="C21" t="s">
        <v>37</v>
      </c>
      <c r="D21" t="s">
        <v>38</v>
      </c>
      <c r="E21" t="s">
        <v>20</v>
      </c>
      <c r="F21" t="s">
        <v>11</v>
      </c>
      <c r="G21" s="6">
        <v>6000</v>
      </c>
      <c r="H21" s="6">
        <v>998</v>
      </c>
      <c r="I21" s="5">
        <f t="shared" ref="I21:I22" si="1">H21/G21</f>
        <v>0.166333333333333</v>
      </c>
    </row>
    <row r="22" spans="2:9">
      <c r="B22" s="3">
        <v>45077</v>
      </c>
      <c r="C22" t="s">
        <v>39</v>
      </c>
      <c r="D22" t="s">
        <v>40</v>
      </c>
      <c r="E22" t="s">
        <v>41</v>
      </c>
      <c r="F22" t="s">
        <v>23</v>
      </c>
      <c r="G22" s="6">
        <v>4500</v>
      </c>
      <c r="H22" s="6">
        <v>780</v>
      </c>
      <c r="I22" s="5">
        <f t="shared" si="1"/>
        <v>0.17333333333333301</v>
      </c>
    </row>
    <row r="23" spans="2:9" ht="8.1" customHeight="1">
      <c r="B23" s="3">
        <v>45078</v>
      </c>
      <c r="C23" t="s">
        <v>52</v>
      </c>
      <c r="D23" t="s">
        <v>53</v>
      </c>
      <c r="E23" t="s">
        <v>41</v>
      </c>
      <c r="F23" t="s">
        <v>11</v>
      </c>
      <c r="G23" s="6">
        <v>5087.5</v>
      </c>
      <c r="H23" s="6">
        <v>655</v>
      </c>
      <c r="I23" s="5">
        <f t="shared" si="0"/>
        <v>0.128746928746929</v>
      </c>
    </row>
    <row r="24" spans="2:9" ht="96" customHeight="1">
      <c r="B24" s="3">
        <v>45078</v>
      </c>
      <c r="C24" t="s">
        <v>54</v>
      </c>
      <c r="D24" t="s">
        <v>55</v>
      </c>
      <c r="E24" t="s">
        <v>41</v>
      </c>
      <c r="F24" t="s">
        <v>11</v>
      </c>
      <c r="G24" s="6">
        <v>4500</v>
      </c>
      <c r="H24" s="6">
        <v>722</v>
      </c>
      <c r="I24" s="5">
        <f t="shared" si="0"/>
        <v>0.160444444444444</v>
      </c>
    </row>
    <row r="25" spans="2:9">
      <c r="B25" s="3">
        <v>45078</v>
      </c>
      <c r="C25" t="s">
        <v>56</v>
      </c>
      <c r="D25" t="s">
        <v>57</v>
      </c>
      <c r="E25" t="s">
        <v>41</v>
      </c>
      <c r="F25" t="s">
        <v>32</v>
      </c>
      <c r="G25" s="6">
        <v>4250</v>
      </c>
      <c r="H25" s="6">
        <v>901</v>
      </c>
      <c r="I25" s="5">
        <f t="shared" si="0"/>
        <v>0.21199999999999999</v>
      </c>
    </row>
    <row r="26" spans="2:9">
      <c r="B26" s="3">
        <v>45079</v>
      </c>
      <c r="C26" t="s">
        <v>58</v>
      </c>
      <c r="D26" t="s">
        <v>59</v>
      </c>
      <c r="E26" t="s">
        <v>41</v>
      </c>
      <c r="F26" t="s">
        <v>15</v>
      </c>
      <c r="G26" s="6">
        <v>5250</v>
      </c>
      <c r="H26" s="6">
        <v>1349</v>
      </c>
      <c r="I26" s="5">
        <f t="shared" si="0"/>
        <v>0.25695238095238099</v>
      </c>
    </row>
    <row r="27" spans="2:9">
      <c r="B27" s="3">
        <v>45079</v>
      </c>
      <c r="C27" t="s">
        <v>60</v>
      </c>
      <c r="D27" t="s">
        <v>61</v>
      </c>
      <c r="E27" t="s">
        <v>14</v>
      </c>
      <c r="F27" t="s">
        <v>15</v>
      </c>
      <c r="G27" s="6">
        <v>6500</v>
      </c>
      <c r="H27" s="6">
        <v>1288</v>
      </c>
      <c r="I27" s="5">
        <f t="shared" si="0"/>
        <v>0.19815384615384601</v>
      </c>
    </row>
    <row r="28" spans="2:9">
      <c r="B28" s="3">
        <v>45079</v>
      </c>
      <c r="C28" t="s">
        <v>62</v>
      </c>
      <c r="D28" t="s">
        <v>63</v>
      </c>
      <c r="E28" t="s">
        <v>14</v>
      </c>
      <c r="F28" t="s">
        <v>15</v>
      </c>
      <c r="G28" s="6">
        <v>7500</v>
      </c>
      <c r="H28" s="6">
        <v>1664</v>
      </c>
      <c r="I28" s="5">
        <f t="shared" si="0"/>
        <v>0.22186666666666699</v>
      </c>
    </row>
    <row r="29" spans="2:9">
      <c r="B29" s="3">
        <v>45079</v>
      </c>
      <c r="C29" t="s">
        <v>64</v>
      </c>
      <c r="D29" t="s">
        <v>65</v>
      </c>
      <c r="E29" t="s">
        <v>14</v>
      </c>
      <c r="F29" t="s">
        <v>11</v>
      </c>
      <c r="G29" s="6">
        <v>5500</v>
      </c>
      <c r="H29" s="6">
        <v>1320</v>
      </c>
      <c r="I29" s="5">
        <f t="shared" si="0"/>
        <v>0.24</v>
      </c>
    </row>
    <row r="30" spans="2:9">
      <c r="B30" s="3">
        <v>45079</v>
      </c>
      <c r="C30" t="s">
        <v>66</v>
      </c>
      <c r="D30" t="s">
        <v>67</v>
      </c>
      <c r="E30" t="s">
        <v>14</v>
      </c>
      <c r="F30" t="s">
        <v>11</v>
      </c>
      <c r="G30" s="6">
        <v>4625</v>
      </c>
      <c r="H30" s="6">
        <v>1001</v>
      </c>
      <c r="I30" s="5">
        <f t="shared" si="0"/>
        <v>0.21643243243243199</v>
      </c>
    </row>
    <row r="31" spans="2:9">
      <c r="B31" s="3">
        <v>45079</v>
      </c>
      <c r="C31" t="s">
        <v>68</v>
      </c>
      <c r="D31" t="s">
        <v>69</v>
      </c>
      <c r="E31" t="s">
        <v>14</v>
      </c>
      <c r="F31" t="s">
        <v>11</v>
      </c>
      <c r="G31" s="6">
        <v>4500</v>
      </c>
      <c r="H31" s="6">
        <v>960</v>
      </c>
      <c r="I31" s="5">
        <f t="shared" si="0"/>
        <v>0.21333333333333299</v>
      </c>
    </row>
    <row r="32" spans="2:9">
      <c r="B32" s="3">
        <v>45079</v>
      </c>
      <c r="C32" t="s">
        <v>70</v>
      </c>
      <c r="D32" t="s">
        <v>71</v>
      </c>
      <c r="E32" t="s">
        <v>14</v>
      </c>
      <c r="F32" t="s">
        <v>32</v>
      </c>
      <c r="G32" s="6">
        <v>5400</v>
      </c>
      <c r="H32" s="6">
        <v>540</v>
      </c>
      <c r="I32" s="5">
        <f t="shared" si="0"/>
        <v>0.1</v>
      </c>
    </row>
    <row r="33" spans="2:9">
      <c r="B33" s="3">
        <v>45076</v>
      </c>
      <c r="C33" t="s">
        <v>21</v>
      </c>
      <c r="D33" t="s">
        <v>22</v>
      </c>
      <c r="E33" t="s">
        <v>20</v>
      </c>
      <c r="F33" t="s">
        <v>23</v>
      </c>
      <c r="G33" s="6">
        <v>5000</v>
      </c>
      <c r="H33" s="6">
        <v>684</v>
      </c>
      <c r="I33" s="5">
        <f t="shared" ref="I33" si="2">H33/G33</f>
        <v>0.1368</v>
      </c>
    </row>
    <row r="34" spans="2:9">
      <c r="G34" s="6"/>
    </row>
    <row r="35" spans="2:9">
      <c r="G35" s="6"/>
    </row>
    <row r="36" spans="2:9">
      <c r="G36" s="6"/>
    </row>
    <row r="37" spans="2:9">
      <c r="G37" s="6"/>
    </row>
    <row r="38" spans="2:9">
      <c r="G38" s="6"/>
    </row>
    <row r="39" spans="2:9">
      <c r="G39" s="6"/>
    </row>
    <row r="40" spans="2:9">
      <c r="G40" s="6"/>
    </row>
    <row r="41" spans="2:9">
      <c r="G41" s="6"/>
    </row>
    <row r="42" spans="2:9">
      <c r="G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zoomScale="81" zoomScaleNormal="81" workbookViewId="0">
      <selection activeCell="D3" sqref="D3"/>
    </sheetView>
  </sheetViews>
  <sheetFormatPr defaultColWidth="11" defaultRowHeight="15.75"/>
  <cols>
    <col min="1" max="1" width="7.5" customWidth="1"/>
    <col min="2" max="2" width="10.625" customWidth="1"/>
    <col min="3" max="3" width="32.875" customWidth="1"/>
    <col min="4" max="4" width="15.375" customWidth="1"/>
    <col min="5" max="5" width="13.875" customWidth="1"/>
    <col min="6" max="6" width="8.75" customWidth="1"/>
    <col min="7" max="7" width="11.125" customWidth="1"/>
    <col min="8" max="9" width="10.125" customWidth="1"/>
    <col min="10" max="10" width="12.375" customWidth="1"/>
  </cols>
  <sheetData>
    <row r="2" spans="1:10">
      <c r="A2" s="1" t="s">
        <v>72</v>
      </c>
      <c r="B2" s="2" t="s">
        <v>0</v>
      </c>
      <c r="C2" s="2" t="s">
        <v>73</v>
      </c>
      <c r="D2" s="2" t="s">
        <v>2</v>
      </c>
      <c r="E2" s="2" t="s">
        <v>74</v>
      </c>
      <c r="F2" s="2" t="s">
        <v>75</v>
      </c>
      <c r="G2" s="2" t="s">
        <v>76</v>
      </c>
      <c r="H2" s="2" t="s">
        <v>5</v>
      </c>
      <c r="I2" s="2" t="s">
        <v>6</v>
      </c>
      <c r="J2" s="2" t="s">
        <v>7</v>
      </c>
    </row>
    <row r="3" spans="1:10">
      <c r="A3" t="s">
        <v>77</v>
      </c>
      <c r="B3" s="3">
        <v>45076</v>
      </c>
      <c r="C3" t="s">
        <v>78</v>
      </c>
      <c r="D3" t="s">
        <v>79</v>
      </c>
      <c r="E3" t="s">
        <v>80</v>
      </c>
      <c r="F3" t="s">
        <v>81</v>
      </c>
      <c r="G3" t="s">
        <v>11</v>
      </c>
      <c r="H3" s="4">
        <v>4500</v>
      </c>
      <c r="I3" s="4">
        <v>598</v>
      </c>
      <c r="J3" s="5">
        <f>IFERROR(I3/H3,0)</f>
        <v>0.132888888888889</v>
      </c>
    </row>
    <row r="4" spans="1:10">
      <c r="A4" t="s">
        <v>82</v>
      </c>
      <c r="B4" s="3">
        <v>45076</v>
      </c>
      <c r="C4" t="s">
        <v>83</v>
      </c>
      <c r="D4" t="s">
        <v>84</v>
      </c>
      <c r="E4" t="s">
        <v>85</v>
      </c>
      <c r="F4" t="s">
        <v>86</v>
      </c>
      <c r="G4" t="s">
        <v>15</v>
      </c>
      <c r="H4" s="4">
        <v>3800</v>
      </c>
      <c r="I4" s="4">
        <v>1045</v>
      </c>
      <c r="J4" s="5">
        <f>IFERROR(I4/H4,0)</f>
        <v>0.27500000000000002</v>
      </c>
    </row>
    <row r="5" spans="1:10">
      <c r="A5" t="s">
        <v>87</v>
      </c>
      <c r="B5" s="3">
        <v>45076</v>
      </c>
      <c r="C5" t="s">
        <v>88</v>
      </c>
      <c r="D5" t="s">
        <v>89</v>
      </c>
      <c r="E5" t="s">
        <v>85</v>
      </c>
      <c r="F5" t="s">
        <v>86</v>
      </c>
      <c r="G5" t="s">
        <v>90</v>
      </c>
      <c r="H5" s="4">
        <v>3712.5</v>
      </c>
      <c r="I5" s="4">
        <v>1009</v>
      </c>
      <c r="J5" s="5">
        <f>J7</f>
        <v>0.1368</v>
      </c>
    </row>
    <row r="6" spans="1:10">
      <c r="A6" t="s">
        <v>91</v>
      </c>
      <c r="B6" s="3">
        <v>45076</v>
      </c>
      <c r="C6" t="s">
        <v>92</v>
      </c>
      <c r="D6" t="s">
        <v>19</v>
      </c>
      <c r="E6" t="s">
        <v>93</v>
      </c>
      <c r="F6" t="s">
        <v>94</v>
      </c>
      <c r="G6" t="s">
        <v>90</v>
      </c>
      <c r="H6" s="4">
        <v>4994</v>
      </c>
      <c r="I6" s="4">
        <v>779</v>
      </c>
      <c r="J6" s="5">
        <f t="shared" ref="J6:J30" si="0">IFERROR(I6/H6,0)</f>
        <v>0.15598718462154601</v>
      </c>
    </row>
    <row r="7" spans="1:10">
      <c r="A7" t="s">
        <v>95</v>
      </c>
      <c r="B7" s="3">
        <v>45076</v>
      </c>
      <c r="C7" t="s">
        <v>96</v>
      </c>
      <c r="D7" t="s">
        <v>97</v>
      </c>
      <c r="E7" t="s">
        <v>93</v>
      </c>
      <c r="F7" t="s">
        <v>94</v>
      </c>
      <c r="G7" t="s">
        <v>23</v>
      </c>
      <c r="H7" s="4">
        <v>5000</v>
      </c>
      <c r="I7" s="4">
        <v>684</v>
      </c>
      <c r="J7" s="5">
        <f t="shared" si="0"/>
        <v>0.1368</v>
      </c>
    </row>
    <row r="8" spans="1:10">
      <c r="A8" t="s">
        <v>98</v>
      </c>
      <c r="B8" s="3">
        <v>45077</v>
      </c>
      <c r="C8" t="s">
        <v>99</v>
      </c>
      <c r="D8" t="s">
        <v>100</v>
      </c>
      <c r="E8" t="s">
        <v>80</v>
      </c>
      <c r="F8" t="s">
        <v>81</v>
      </c>
      <c r="G8" t="s">
        <v>11</v>
      </c>
      <c r="H8" s="4">
        <v>6100</v>
      </c>
      <c r="I8" s="4">
        <v>544</v>
      </c>
      <c r="J8" s="5">
        <f t="shared" si="0"/>
        <v>8.9180327868852494E-2</v>
      </c>
    </row>
    <row r="9" spans="1:10">
      <c r="A9" t="s">
        <v>101</v>
      </c>
      <c r="B9" s="3">
        <v>45077</v>
      </c>
      <c r="C9" t="s">
        <v>102</v>
      </c>
      <c r="D9" t="s">
        <v>103</v>
      </c>
      <c r="E9" t="s">
        <v>80</v>
      </c>
      <c r="F9" t="s">
        <v>81</v>
      </c>
      <c r="G9" t="s">
        <v>11</v>
      </c>
      <c r="H9" s="4">
        <v>4625</v>
      </c>
      <c r="I9" s="4">
        <v>670</v>
      </c>
      <c r="J9" s="5">
        <f t="shared" si="0"/>
        <v>0.144864864864865</v>
      </c>
    </row>
    <row r="10" spans="1:10">
      <c r="A10" t="s">
        <v>104</v>
      </c>
      <c r="B10" s="3">
        <v>45077</v>
      </c>
      <c r="C10" t="s">
        <v>105</v>
      </c>
      <c r="D10" t="s">
        <v>106</v>
      </c>
      <c r="E10" t="s">
        <v>80</v>
      </c>
      <c r="F10" t="s">
        <v>81</v>
      </c>
      <c r="G10" t="s">
        <v>11</v>
      </c>
      <c r="H10" s="4">
        <v>3800</v>
      </c>
      <c r="I10" s="4">
        <v>2045</v>
      </c>
      <c r="J10" s="5">
        <f t="shared" si="0"/>
        <v>0.53815789473684195</v>
      </c>
    </row>
    <row r="11" spans="1:10">
      <c r="A11" t="s">
        <v>107</v>
      </c>
      <c r="B11" s="3">
        <v>45077</v>
      </c>
      <c r="C11" t="s">
        <v>108</v>
      </c>
      <c r="D11" t="s">
        <v>31</v>
      </c>
      <c r="E11" t="s">
        <v>80</v>
      </c>
      <c r="F11" t="s">
        <v>81</v>
      </c>
      <c r="G11" t="s">
        <v>32</v>
      </c>
      <c r="H11" s="4">
        <v>3600</v>
      </c>
      <c r="I11" s="4">
        <v>1564</v>
      </c>
      <c r="J11" s="5">
        <f t="shared" si="0"/>
        <v>0.43444444444444402</v>
      </c>
    </row>
    <row r="12" spans="1:10">
      <c r="A12" t="s">
        <v>109</v>
      </c>
      <c r="B12" s="3">
        <v>45077</v>
      </c>
      <c r="C12" t="s">
        <v>110</v>
      </c>
      <c r="D12" t="s">
        <v>34</v>
      </c>
      <c r="E12" t="s">
        <v>80</v>
      </c>
      <c r="F12" t="s">
        <v>81</v>
      </c>
      <c r="G12" t="s">
        <v>23</v>
      </c>
      <c r="H12" s="4">
        <v>5100</v>
      </c>
      <c r="I12" s="4">
        <v>1220</v>
      </c>
      <c r="J12" s="5">
        <f t="shared" si="0"/>
        <v>0.23921568627451001</v>
      </c>
    </row>
    <row r="13" spans="1:10">
      <c r="A13" t="s">
        <v>111</v>
      </c>
      <c r="B13" s="3">
        <v>45077</v>
      </c>
      <c r="C13" t="s">
        <v>112</v>
      </c>
      <c r="D13" t="s">
        <v>113</v>
      </c>
      <c r="E13" t="s">
        <v>80</v>
      </c>
      <c r="F13" t="s">
        <v>81</v>
      </c>
      <c r="G13" t="s">
        <v>23</v>
      </c>
      <c r="H13" s="4">
        <v>4750</v>
      </c>
      <c r="I13" s="4">
        <v>1435</v>
      </c>
      <c r="J13" s="5">
        <f t="shared" si="0"/>
        <v>0.30210526315789499</v>
      </c>
    </row>
    <row r="14" spans="1:10">
      <c r="A14" t="s">
        <v>114</v>
      </c>
      <c r="B14" s="3">
        <v>45077</v>
      </c>
      <c r="C14" t="s">
        <v>115</v>
      </c>
      <c r="D14" t="s">
        <v>116</v>
      </c>
      <c r="E14" t="s">
        <v>93</v>
      </c>
      <c r="F14" t="s">
        <v>94</v>
      </c>
      <c r="G14" t="s">
        <v>11</v>
      </c>
      <c r="H14" s="4">
        <v>6000</v>
      </c>
      <c r="I14" s="4">
        <v>998</v>
      </c>
      <c r="J14" s="5">
        <f t="shared" si="0"/>
        <v>0.166333333333333</v>
      </c>
    </row>
    <row r="15" spans="1:10">
      <c r="A15" t="s">
        <v>117</v>
      </c>
      <c r="B15" s="3">
        <v>45077</v>
      </c>
      <c r="C15" t="s">
        <v>118</v>
      </c>
      <c r="D15" t="s">
        <v>119</v>
      </c>
      <c r="E15" t="s">
        <v>120</v>
      </c>
      <c r="F15" t="s">
        <v>121</v>
      </c>
      <c r="G15" t="s">
        <v>23</v>
      </c>
      <c r="H15" s="4">
        <v>4500</v>
      </c>
      <c r="I15" s="4">
        <v>780</v>
      </c>
      <c r="J15" s="5">
        <f t="shared" si="0"/>
        <v>0.17333333333333301</v>
      </c>
    </row>
    <row r="16" spans="1:10">
      <c r="A16" t="s">
        <v>122</v>
      </c>
      <c r="B16" s="3">
        <v>45078</v>
      </c>
      <c r="C16" t="s">
        <v>123</v>
      </c>
      <c r="D16" t="s">
        <v>43</v>
      </c>
      <c r="E16" t="s">
        <v>120</v>
      </c>
      <c r="F16" t="s">
        <v>121</v>
      </c>
      <c r="G16" t="s">
        <v>32</v>
      </c>
      <c r="H16" s="4">
        <v>4994</v>
      </c>
      <c r="I16" s="4">
        <v>1044</v>
      </c>
      <c r="J16" s="5">
        <f t="shared" si="0"/>
        <v>0.20905086103324</v>
      </c>
    </row>
    <row r="17" spans="1:10">
      <c r="A17" t="s">
        <v>124</v>
      </c>
      <c r="B17" s="3">
        <v>45078</v>
      </c>
      <c r="C17" t="s">
        <v>125</v>
      </c>
      <c r="D17" t="s">
        <v>126</v>
      </c>
      <c r="E17" t="s">
        <v>120</v>
      </c>
      <c r="F17" t="s">
        <v>121</v>
      </c>
      <c r="G17" t="s">
        <v>11</v>
      </c>
      <c r="H17" s="4">
        <v>3712.5</v>
      </c>
      <c r="I17" s="4">
        <v>1222</v>
      </c>
      <c r="J17" s="5">
        <f t="shared" si="0"/>
        <v>0.32915824915824898</v>
      </c>
    </row>
    <row r="18" spans="1:10">
      <c r="A18" t="s">
        <v>127</v>
      </c>
      <c r="B18" s="3">
        <v>45078</v>
      </c>
      <c r="C18" t="s">
        <v>128</v>
      </c>
      <c r="D18" t="s">
        <v>129</v>
      </c>
      <c r="E18" t="s">
        <v>120</v>
      </c>
      <c r="F18" t="s">
        <v>121</v>
      </c>
      <c r="G18" t="s">
        <v>11</v>
      </c>
      <c r="H18" s="4">
        <v>4950</v>
      </c>
      <c r="I18" s="4">
        <v>1065</v>
      </c>
      <c r="J18" s="5">
        <f t="shared" si="0"/>
        <v>0.21515151515151501</v>
      </c>
    </row>
    <row r="19" spans="1:10">
      <c r="A19" t="s">
        <v>130</v>
      </c>
      <c r="B19" s="3">
        <v>45078</v>
      </c>
      <c r="C19" t="s">
        <v>131</v>
      </c>
      <c r="D19" t="s">
        <v>132</v>
      </c>
      <c r="E19" t="s">
        <v>93</v>
      </c>
      <c r="F19" t="s">
        <v>94</v>
      </c>
      <c r="G19" t="s">
        <v>11</v>
      </c>
      <c r="H19" s="4">
        <v>4750</v>
      </c>
      <c r="I19" s="4">
        <v>810</v>
      </c>
      <c r="J19" s="5">
        <f t="shared" si="0"/>
        <v>0.170526315789474</v>
      </c>
    </row>
    <row r="20" spans="1:10">
      <c r="A20" t="s">
        <v>133</v>
      </c>
      <c r="B20" s="3">
        <v>45078</v>
      </c>
      <c r="C20" t="s">
        <v>134</v>
      </c>
      <c r="D20" t="s">
        <v>135</v>
      </c>
      <c r="E20" t="s">
        <v>93</v>
      </c>
      <c r="F20" t="s">
        <v>94</v>
      </c>
      <c r="G20" t="s">
        <v>11</v>
      </c>
      <c r="H20" s="4">
        <v>7320</v>
      </c>
      <c r="I20" s="4">
        <v>933</v>
      </c>
      <c r="J20" s="5">
        <f t="shared" si="0"/>
        <v>0.12745901639344301</v>
      </c>
    </row>
    <row r="21" spans="1:10">
      <c r="A21" t="s">
        <v>136</v>
      </c>
      <c r="B21" s="3">
        <v>45078</v>
      </c>
      <c r="C21" t="s">
        <v>137</v>
      </c>
      <c r="D21" t="s">
        <v>138</v>
      </c>
      <c r="E21" t="s">
        <v>120</v>
      </c>
      <c r="F21" t="s">
        <v>121</v>
      </c>
      <c r="G21" t="s">
        <v>11</v>
      </c>
      <c r="H21" s="4">
        <v>5087.5</v>
      </c>
      <c r="I21" s="4">
        <v>655</v>
      </c>
      <c r="J21" s="5">
        <f t="shared" si="0"/>
        <v>0.128746928746929</v>
      </c>
    </row>
    <row r="22" spans="1:10">
      <c r="A22" t="s">
        <v>139</v>
      </c>
      <c r="B22" s="3">
        <v>45078</v>
      </c>
      <c r="C22" t="s">
        <v>140</v>
      </c>
      <c r="D22" t="s">
        <v>141</v>
      </c>
      <c r="E22" t="s">
        <v>120</v>
      </c>
      <c r="F22" t="s">
        <v>121</v>
      </c>
      <c r="G22" t="s">
        <v>11</v>
      </c>
      <c r="H22" s="4">
        <v>4500</v>
      </c>
      <c r="I22" s="4">
        <v>722</v>
      </c>
      <c r="J22" s="5">
        <f t="shared" si="0"/>
        <v>0.160444444444444</v>
      </c>
    </row>
    <row r="23" spans="1:10">
      <c r="A23" t="s">
        <v>142</v>
      </c>
      <c r="B23" s="3">
        <v>45078</v>
      </c>
      <c r="C23" t="s">
        <v>143</v>
      </c>
      <c r="D23" t="s">
        <v>144</v>
      </c>
      <c r="E23" t="s">
        <v>120</v>
      </c>
      <c r="F23" t="s">
        <v>121</v>
      </c>
      <c r="G23" t="s">
        <v>32</v>
      </c>
      <c r="H23" s="4">
        <v>4250</v>
      </c>
      <c r="I23" s="4">
        <v>901</v>
      </c>
      <c r="J23" s="5">
        <f t="shared" si="0"/>
        <v>0.21199999999999999</v>
      </c>
    </row>
    <row r="24" spans="1:10">
      <c r="A24" t="s">
        <v>145</v>
      </c>
      <c r="B24" s="3">
        <v>45079</v>
      </c>
      <c r="C24" t="s">
        <v>146</v>
      </c>
      <c r="D24" t="s">
        <v>147</v>
      </c>
      <c r="E24" t="s">
        <v>120</v>
      </c>
      <c r="F24" t="s">
        <v>121</v>
      </c>
      <c r="G24" t="s">
        <v>15</v>
      </c>
      <c r="H24" s="4">
        <v>5250</v>
      </c>
      <c r="I24" s="4">
        <v>1349</v>
      </c>
      <c r="J24" s="5">
        <f t="shared" si="0"/>
        <v>0.25695238095238099</v>
      </c>
    </row>
    <row r="25" spans="1:10">
      <c r="A25" t="s">
        <v>148</v>
      </c>
      <c r="B25" s="3">
        <v>45079</v>
      </c>
      <c r="C25" t="s">
        <v>149</v>
      </c>
      <c r="D25" t="s">
        <v>150</v>
      </c>
      <c r="E25" t="s">
        <v>85</v>
      </c>
      <c r="F25" t="s">
        <v>86</v>
      </c>
      <c r="G25" t="s">
        <v>15</v>
      </c>
      <c r="H25" s="4">
        <v>6500</v>
      </c>
      <c r="I25" s="4">
        <v>1288</v>
      </c>
      <c r="J25" s="5">
        <f t="shared" si="0"/>
        <v>0.19815384615384601</v>
      </c>
    </row>
    <row r="26" spans="1:10">
      <c r="A26" t="s">
        <v>151</v>
      </c>
      <c r="B26" s="3">
        <v>45079</v>
      </c>
      <c r="C26" t="s">
        <v>152</v>
      </c>
      <c r="D26" t="s">
        <v>153</v>
      </c>
      <c r="E26" t="s">
        <v>85</v>
      </c>
      <c r="F26" t="s">
        <v>86</v>
      </c>
      <c r="G26" t="s">
        <v>15</v>
      </c>
      <c r="H26" s="4">
        <v>7500</v>
      </c>
      <c r="I26" s="4">
        <v>1664</v>
      </c>
      <c r="J26" s="5">
        <f t="shared" si="0"/>
        <v>0.22186666666666699</v>
      </c>
    </row>
    <row r="27" spans="1:10">
      <c r="A27" t="s">
        <v>154</v>
      </c>
      <c r="B27" s="3">
        <v>45079</v>
      </c>
      <c r="C27" t="s">
        <v>155</v>
      </c>
      <c r="D27" t="s">
        <v>156</v>
      </c>
      <c r="E27" t="s">
        <v>85</v>
      </c>
      <c r="F27" t="s">
        <v>86</v>
      </c>
      <c r="G27" t="s">
        <v>11</v>
      </c>
      <c r="H27" s="4">
        <v>5500</v>
      </c>
      <c r="I27" s="4">
        <v>1320</v>
      </c>
      <c r="J27" s="5">
        <f t="shared" si="0"/>
        <v>0.24</v>
      </c>
    </row>
    <row r="28" spans="1:10">
      <c r="A28" t="s">
        <v>157</v>
      </c>
      <c r="B28" s="3">
        <v>45079</v>
      </c>
      <c r="C28" t="s">
        <v>158</v>
      </c>
      <c r="D28" t="s">
        <v>159</v>
      </c>
      <c r="E28" t="s">
        <v>85</v>
      </c>
      <c r="F28" t="s">
        <v>86</v>
      </c>
      <c r="G28" t="s">
        <v>11</v>
      </c>
      <c r="H28" s="4">
        <v>4625</v>
      </c>
      <c r="I28" s="4">
        <v>1001</v>
      </c>
      <c r="J28" s="5">
        <f t="shared" si="0"/>
        <v>0.21643243243243199</v>
      </c>
    </row>
    <row r="29" spans="1:10">
      <c r="A29" t="s">
        <v>160</v>
      </c>
      <c r="B29" s="3">
        <v>45079</v>
      </c>
      <c r="C29" t="s">
        <v>161</v>
      </c>
      <c r="D29" t="s">
        <v>162</v>
      </c>
      <c r="E29" t="s">
        <v>85</v>
      </c>
      <c r="F29" t="s">
        <v>86</v>
      </c>
      <c r="G29" t="s">
        <v>11</v>
      </c>
      <c r="H29" s="4">
        <v>4500</v>
      </c>
      <c r="I29" s="4">
        <v>960</v>
      </c>
      <c r="J29" s="5">
        <f t="shared" si="0"/>
        <v>0.21333333333333299</v>
      </c>
    </row>
    <row r="30" spans="1:10">
      <c r="A30" t="s">
        <v>163</v>
      </c>
      <c r="B30" s="3">
        <v>45079</v>
      </c>
      <c r="C30" t="s">
        <v>164</v>
      </c>
      <c r="D30" t="s">
        <v>71</v>
      </c>
      <c r="E30" t="s">
        <v>85</v>
      </c>
      <c r="F30" t="s">
        <v>86</v>
      </c>
      <c r="G30" t="s">
        <v>32</v>
      </c>
      <c r="H30" s="4">
        <v>5400</v>
      </c>
      <c r="I30" s="4">
        <v>540</v>
      </c>
      <c r="J30" s="5">
        <f t="shared" si="0"/>
        <v>0.1</v>
      </c>
    </row>
    <row r="34" spans="8:8">
      <c r="H34" s="6">
        <f>AVERAGE(H3:H33)</f>
        <v>4975.7321428571404</v>
      </c>
    </row>
    <row r="35" spans="8:8">
      <c r="H35" s="6"/>
    </row>
    <row r="36" spans="8:8">
      <c r="H36" s="6"/>
    </row>
    <row r="37" spans="8:8">
      <c r="H37" s="6"/>
    </row>
    <row r="38" spans="8:8">
      <c r="H38" s="6"/>
    </row>
    <row r="39" spans="8:8">
      <c r="H39" s="6"/>
    </row>
    <row r="40" spans="8:8">
      <c r="H40" s="6"/>
    </row>
    <row r="41" spans="8:8">
      <c r="H41" s="6"/>
    </row>
    <row r="42" spans="8:8">
      <c r="H42" s="6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topLeftCell="A19" zoomScale="145" zoomScaleNormal="145" workbookViewId="0">
      <selection activeCell="A2" sqref="A2"/>
    </sheetView>
  </sheetViews>
  <sheetFormatPr defaultColWidth="11" defaultRowHeight="15.75"/>
  <cols>
    <col min="1" max="1" width="32.875" customWidth="1"/>
    <col min="2" max="2" width="19.625" customWidth="1"/>
    <col min="3" max="4" width="15.375" customWidth="1"/>
    <col min="5" max="6" width="16.875" customWidth="1"/>
    <col min="7" max="7" width="8.25" customWidth="1"/>
    <col min="8" max="9" width="10.125" customWidth="1"/>
    <col min="10" max="10" width="11.75" customWidth="1"/>
  </cols>
  <sheetData>
    <row r="2" spans="1:3">
      <c r="A2" s="2" t="s">
        <v>1</v>
      </c>
      <c r="B2" s="2" t="s">
        <v>73</v>
      </c>
      <c r="C2" s="2" t="s">
        <v>2</v>
      </c>
    </row>
    <row r="3" spans="1:3">
      <c r="A3" t="s">
        <v>78</v>
      </c>
      <c r="B3" t="s">
        <v>165</v>
      </c>
      <c r="C3" t="s">
        <v>79</v>
      </c>
    </row>
    <row r="4" spans="1:3">
      <c r="A4" t="s">
        <v>137</v>
      </c>
      <c r="B4" t="s">
        <v>166</v>
      </c>
      <c r="C4" t="s">
        <v>138</v>
      </c>
    </row>
    <row r="5" spans="1:3">
      <c r="A5" t="s">
        <v>108</v>
      </c>
      <c r="B5" t="s">
        <v>167</v>
      </c>
      <c r="C5" t="s">
        <v>31</v>
      </c>
    </row>
    <row r="6" spans="1:3">
      <c r="A6" t="s">
        <v>134</v>
      </c>
      <c r="B6" t="s">
        <v>168</v>
      </c>
      <c r="C6" t="s">
        <v>135</v>
      </c>
    </row>
    <row r="7" spans="1:3">
      <c r="A7" t="s">
        <v>131</v>
      </c>
      <c r="B7" t="s">
        <v>169</v>
      </c>
      <c r="C7" t="s">
        <v>132</v>
      </c>
    </row>
    <row r="8" spans="1:3">
      <c r="A8" t="s">
        <v>105</v>
      </c>
      <c r="B8" t="s">
        <v>170</v>
      </c>
      <c r="C8" t="s">
        <v>106</v>
      </c>
    </row>
    <row r="9" spans="1:3">
      <c r="A9" t="s">
        <v>149</v>
      </c>
      <c r="B9" t="s">
        <v>171</v>
      </c>
      <c r="C9" t="s">
        <v>150</v>
      </c>
    </row>
    <row r="10" spans="1:3">
      <c r="A10" t="s">
        <v>115</v>
      </c>
      <c r="B10" t="s">
        <v>172</v>
      </c>
      <c r="C10" t="s">
        <v>116</v>
      </c>
    </row>
    <row r="11" spans="1:3">
      <c r="A11" t="s">
        <v>152</v>
      </c>
      <c r="B11" t="s">
        <v>173</v>
      </c>
      <c r="C11" t="s">
        <v>153</v>
      </c>
    </row>
    <row r="12" spans="1:3">
      <c r="A12" t="s">
        <v>123</v>
      </c>
      <c r="B12" t="s">
        <v>174</v>
      </c>
      <c r="C12" t="s">
        <v>43</v>
      </c>
    </row>
    <row r="13" spans="1:3">
      <c r="A13" t="s">
        <v>158</v>
      </c>
      <c r="B13" t="s">
        <v>175</v>
      </c>
      <c r="C13" t="s">
        <v>159</v>
      </c>
    </row>
    <row r="14" spans="1:3">
      <c r="A14" t="s">
        <v>161</v>
      </c>
      <c r="B14" t="s">
        <v>176</v>
      </c>
      <c r="C14" t="s">
        <v>162</v>
      </c>
    </row>
    <row r="15" spans="1:3">
      <c r="A15" t="s">
        <v>143</v>
      </c>
      <c r="B15" t="s">
        <v>177</v>
      </c>
      <c r="C15" t="s">
        <v>144</v>
      </c>
    </row>
    <row r="16" spans="1:3">
      <c r="A16" t="s">
        <v>140</v>
      </c>
      <c r="B16" t="s">
        <v>178</v>
      </c>
      <c r="C16" t="s">
        <v>141</v>
      </c>
    </row>
    <row r="17" spans="1:3">
      <c r="A17" t="s">
        <v>155</v>
      </c>
      <c r="B17" t="s">
        <v>179</v>
      </c>
      <c r="C17" t="s">
        <v>156</v>
      </c>
    </row>
    <row r="18" spans="1:3">
      <c r="A18" t="s">
        <v>99</v>
      </c>
      <c r="B18" t="s">
        <v>180</v>
      </c>
      <c r="C18" t="s">
        <v>100</v>
      </c>
    </row>
    <row r="19" spans="1:3">
      <c r="A19" t="s">
        <v>164</v>
      </c>
      <c r="B19" t="s">
        <v>181</v>
      </c>
      <c r="C19" t="s">
        <v>71</v>
      </c>
    </row>
    <row r="20" spans="1:3">
      <c r="A20" t="s">
        <v>118</v>
      </c>
      <c r="B20" t="s">
        <v>182</v>
      </c>
      <c r="C20" t="s">
        <v>119</v>
      </c>
    </row>
    <row r="21" spans="1:3">
      <c r="A21" t="s">
        <v>146</v>
      </c>
      <c r="B21" t="s">
        <v>183</v>
      </c>
      <c r="C21" t="s">
        <v>147</v>
      </c>
    </row>
    <row r="22" spans="1:3">
      <c r="A22" t="s">
        <v>102</v>
      </c>
      <c r="B22" t="s">
        <v>184</v>
      </c>
      <c r="C22" t="s">
        <v>103</v>
      </c>
    </row>
    <row r="23" spans="1:3">
      <c r="A23" t="s">
        <v>88</v>
      </c>
      <c r="B23" t="s">
        <v>185</v>
      </c>
      <c r="C23" t="s">
        <v>89</v>
      </c>
    </row>
    <row r="24" spans="1:3">
      <c r="A24" t="s">
        <v>112</v>
      </c>
      <c r="B24" t="s">
        <v>186</v>
      </c>
      <c r="C24" t="s">
        <v>113</v>
      </c>
    </row>
    <row r="25" spans="1:3">
      <c r="A25" t="s">
        <v>83</v>
      </c>
      <c r="B25" t="s">
        <v>187</v>
      </c>
      <c r="C25" t="s">
        <v>84</v>
      </c>
    </row>
    <row r="26" spans="1:3">
      <c r="A26" t="s">
        <v>96</v>
      </c>
      <c r="B26" t="s">
        <v>188</v>
      </c>
      <c r="C26" t="s">
        <v>97</v>
      </c>
    </row>
    <row r="27" spans="1:3">
      <c r="A27" t="s">
        <v>128</v>
      </c>
      <c r="B27" t="s">
        <v>189</v>
      </c>
      <c r="C27" t="s">
        <v>129</v>
      </c>
    </row>
    <row r="28" spans="1:3">
      <c r="A28" t="s">
        <v>92</v>
      </c>
      <c r="B28" t="s">
        <v>190</v>
      </c>
      <c r="C28" t="s">
        <v>19</v>
      </c>
    </row>
    <row r="29" spans="1:3">
      <c r="A29" t="s">
        <v>125</v>
      </c>
      <c r="B29" t="s">
        <v>191</v>
      </c>
      <c r="C29" t="s">
        <v>126</v>
      </c>
    </row>
    <row r="30" spans="1:3">
      <c r="A30" t="s">
        <v>110</v>
      </c>
      <c r="B30" t="s">
        <v>192</v>
      </c>
      <c r="C30" t="s">
        <v>34</v>
      </c>
    </row>
    <row r="35" spans="8:8">
      <c r="H35" s="6"/>
    </row>
    <row r="36" spans="8:8">
      <c r="H36" s="6"/>
    </row>
    <row r="37" spans="8:8">
      <c r="H37" s="6"/>
    </row>
    <row r="38" spans="8:8">
      <c r="H38" s="6"/>
    </row>
    <row r="39" spans="8:8">
      <c r="H39" s="6"/>
    </row>
    <row r="40" spans="8:8">
      <c r="H40" s="6"/>
    </row>
    <row r="41" spans="8:8">
      <c r="H41" s="6"/>
    </row>
    <row r="42" spans="8:8">
      <c r="H42" s="6"/>
    </row>
  </sheetData>
  <sortState ref="A3:B30">
    <sortCondition ref="A3"/>
  </sortState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zoomScale="145" zoomScaleNormal="145" workbookViewId="0">
      <selection activeCell="A3" sqref="A3:B6"/>
    </sheetView>
  </sheetViews>
  <sheetFormatPr defaultColWidth="11" defaultRowHeight="15.75"/>
  <cols>
    <col min="1" max="1" width="8.75" customWidth="1"/>
    <col min="2" max="2" width="32.875" customWidth="1"/>
    <col min="3" max="3" width="15.375" customWidth="1"/>
    <col min="4" max="5" width="16.875" customWidth="1"/>
    <col min="6" max="6" width="8.25" customWidth="1"/>
    <col min="7" max="8" width="10.125" customWidth="1"/>
    <col min="9" max="9" width="11.75" customWidth="1"/>
  </cols>
  <sheetData>
    <row r="2" spans="1:2">
      <c r="A2" s="2" t="s">
        <v>193</v>
      </c>
      <c r="B2" s="1" t="s">
        <v>75</v>
      </c>
    </row>
    <row r="3" spans="1:2">
      <c r="A3" t="s">
        <v>121</v>
      </c>
      <c r="B3" t="s">
        <v>194</v>
      </c>
    </row>
    <row r="4" spans="1:2">
      <c r="A4" t="s">
        <v>94</v>
      </c>
      <c r="B4" t="s">
        <v>195</v>
      </c>
    </row>
    <row r="5" spans="1:2">
      <c r="A5" t="s">
        <v>86</v>
      </c>
      <c r="B5" t="s">
        <v>196</v>
      </c>
    </row>
    <row r="6" spans="1:2">
      <c r="A6" t="s">
        <v>81</v>
      </c>
      <c r="B6" t="s">
        <v>197</v>
      </c>
    </row>
    <row r="35" spans="7:7">
      <c r="G35" s="6"/>
    </row>
    <row r="36" spans="7:7">
      <c r="G36" s="6"/>
    </row>
    <row r="37" spans="7:7">
      <c r="G37" s="6"/>
    </row>
    <row r="38" spans="7:7">
      <c r="G38" s="6"/>
    </row>
    <row r="39" spans="7:7">
      <c r="G39" s="6"/>
    </row>
    <row r="40" spans="7:7">
      <c r="G40" s="6"/>
    </row>
    <row r="41" spans="7:7">
      <c r="G41" s="6"/>
    </row>
    <row r="42" spans="7:7">
      <c r="G42" s="6"/>
    </row>
  </sheetData>
  <sortState ref="A3:A6">
    <sortCondition ref="A3"/>
  </sortState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zoomScale="145" zoomScaleNormal="145" workbookViewId="0">
      <selection activeCell="A2" sqref="A2:B7"/>
    </sheetView>
  </sheetViews>
  <sheetFormatPr defaultColWidth="11" defaultRowHeight="15.75"/>
  <cols>
    <col min="1" max="1" width="11.75" customWidth="1"/>
    <col min="2" max="2" width="9.25" customWidth="1"/>
    <col min="3" max="3" width="32.875" customWidth="1"/>
    <col min="4" max="4" width="15.375" customWidth="1"/>
    <col min="5" max="6" width="16.875" customWidth="1"/>
    <col min="7" max="7" width="8.25" customWidth="1"/>
    <col min="8" max="9" width="10.125" customWidth="1"/>
    <col min="10" max="10" width="11.75" customWidth="1"/>
  </cols>
  <sheetData>
    <row r="2" spans="1:2">
      <c r="A2" s="1" t="s">
        <v>76</v>
      </c>
      <c r="B2" s="2" t="s">
        <v>4</v>
      </c>
    </row>
    <row r="3" spans="1:2">
      <c r="A3" t="s">
        <v>198</v>
      </c>
      <c r="B3" t="s">
        <v>11</v>
      </c>
    </row>
    <row r="4" spans="1:2">
      <c r="A4" t="s">
        <v>199</v>
      </c>
      <c r="B4" t="s">
        <v>32</v>
      </c>
    </row>
    <row r="5" spans="1:2">
      <c r="A5" t="s">
        <v>200</v>
      </c>
      <c r="B5" t="s">
        <v>23</v>
      </c>
    </row>
    <row r="6" spans="1:2">
      <c r="A6" t="s">
        <v>201</v>
      </c>
      <c r="B6" t="s">
        <v>90</v>
      </c>
    </row>
    <row r="7" spans="1:2">
      <c r="A7" t="s">
        <v>202</v>
      </c>
      <c r="B7" t="s">
        <v>15</v>
      </c>
    </row>
    <row r="35" spans="8:8">
      <c r="H35" s="6"/>
    </row>
    <row r="36" spans="8:8">
      <c r="H36" s="6"/>
    </row>
    <row r="37" spans="8:8">
      <c r="H37" s="6"/>
    </row>
    <row r="38" spans="8:8">
      <c r="H38" s="6"/>
    </row>
    <row r="39" spans="8:8">
      <c r="H39" s="6"/>
    </row>
    <row r="40" spans="8:8">
      <c r="H40" s="6"/>
    </row>
    <row r="41" spans="8:8">
      <c r="H41" s="6"/>
    </row>
    <row r="42" spans="8:8">
      <c r="H42" s="6"/>
    </row>
  </sheetData>
  <sortState ref="B4:B7">
    <sortCondition ref="B3"/>
  </sortState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zoomScale="145" zoomScaleNormal="145" workbookViewId="0">
      <selection activeCell="A2" sqref="A2:B6"/>
    </sheetView>
  </sheetViews>
  <sheetFormatPr defaultColWidth="11" defaultRowHeight="15.75"/>
  <cols>
    <col min="1" max="1" width="12" customWidth="1"/>
    <col min="2" max="2" width="32.875" customWidth="1"/>
    <col min="3" max="3" width="15.375" customWidth="1"/>
    <col min="4" max="5" width="16.875" customWidth="1"/>
    <col min="6" max="6" width="8.25" customWidth="1"/>
    <col min="7" max="8" width="10.125" customWidth="1"/>
    <col min="9" max="9" width="11.75" customWidth="1"/>
  </cols>
  <sheetData>
    <row r="2" spans="1:2">
      <c r="A2" s="2" t="s">
        <v>3</v>
      </c>
      <c r="B2" s="1" t="s">
        <v>74</v>
      </c>
    </row>
    <row r="3" spans="1:2">
      <c r="A3" t="s">
        <v>120</v>
      </c>
      <c r="B3" t="s">
        <v>203</v>
      </c>
    </row>
    <row r="4" spans="1:2">
      <c r="A4" t="s">
        <v>80</v>
      </c>
      <c r="B4" t="s">
        <v>204</v>
      </c>
    </row>
    <row r="5" spans="1:2">
      <c r="A5" t="s">
        <v>93</v>
      </c>
      <c r="B5" t="s">
        <v>205</v>
      </c>
    </row>
    <row r="6" spans="1:2">
      <c r="A6" t="s">
        <v>85</v>
      </c>
      <c r="B6" t="s">
        <v>206</v>
      </c>
    </row>
    <row r="35" spans="7:7">
      <c r="G35" s="6"/>
    </row>
    <row r="36" spans="7:7">
      <c r="G36" s="6"/>
    </row>
    <row r="37" spans="7:7">
      <c r="G37" s="6"/>
    </row>
    <row r="38" spans="7:7">
      <c r="G38" s="6"/>
    </row>
    <row r="39" spans="7:7">
      <c r="G39" s="6"/>
    </row>
    <row r="40" spans="7:7">
      <c r="G40" s="6"/>
    </row>
    <row r="41" spans="7:7">
      <c r="G41" s="6"/>
    </row>
    <row r="42" spans="7:7">
      <c r="G42" s="6"/>
    </row>
  </sheetData>
  <sortState ref="A3:A6">
    <sortCondition ref="A3:A6"/>
  </sortState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2"/>
  <sheetViews>
    <sheetView tabSelected="1" zoomScale="81" zoomScaleNormal="81" workbookViewId="0">
      <selection activeCell="D35" sqref="D35"/>
    </sheetView>
  </sheetViews>
  <sheetFormatPr defaultColWidth="11" defaultRowHeight="15.75"/>
  <cols>
    <col min="1" max="1" width="9.625" customWidth="1"/>
    <col min="2" max="2" width="11.25" bestFit="1" customWidth="1"/>
    <col min="3" max="3" width="9.875" customWidth="1"/>
    <col min="4" max="4" width="15.625" customWidth="1"/>
    <col min="5" max="5" width="15.375" customWidth="1"/>
    <col min="6" max="6" width="16" bestFit="1" customWidth="1"/>
    <col min="7" max="7" width="10.625" bestFit="1" customWidth="1"/>
    <col min="8" max="8" width="10.75" bestFit="1" customWidth="1"/>
    <col min="9" max="9" width="13.875" customWidth="1"/>
    <col min="10" max="10" width="11.125" customWidth="1"/>
    <col min="11" max="12" width="10.125" customWidth="1"/>
    <col min="13" max="13" width="12.375" customWidth="1"/>
  </cols>
  <sheetData>
    <row r="2" spans="1:9">
      <c r="A2" s="1" t="s">
        <v>72</v>
      </c>
      <c r="B2" s="2" t="s">
        <v>0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5</v>
      </c>
      <c r="H2" s="2" t="s">
        <v>6</v>
      </c>
      <c r="I2" s="2" t="s">
        <v>7</v>
      </c>
    </row>
    <row r="3" spans="1:9">
      <c r="A3" t="s">
        <v>77</v>
      </c>
      <c r="B3" s="3">
        <v>45076</v>
      </c>
      <c r="C3" t="s">
        <v>165</v>
      </c>
      <c r="D3" t="s">
        <v>204</v>
      </c>
      <c r="E3" t="s">
        <v>197</v>
      </c>
      <c r="F3" t="s">
        <v>11</v>
      </c>
      <c r="G3" s="4">
        <v>4500</v>
      </c>
      <c r="H3" s="4">
        <v>598</v>
      </c>
      <c r="I3" s="5">
        <f>IFERROR(H3/G3,0)</f>
        <v>0.13288888888888889</v>
      </c>
    </row>
    <row r="4" spans="1:9">
      <c r="A4" t="s">
        <v>82</v>
      </c>
      <c r="B4" s="3">
        <v>45076</v>
      </c>
      <c r="C4" t="s">
        <v>187</v>
      </c>
      <c r="D4" t="s">
        <v>206</v>
      </c>
      <c r="E4" t="s">
        <v>196</v>
      </c>
      <c r="F4" t="s">
        <v>15</v>
      </c>
      <c r="G4" s="4">
        <v>3800</v>
      </c>
      <c r="H4" s="4">
        <v>1045</v>
      </c>
      <c r="I4" s="5">
        <f>IFERROR(H4/G4,0)</f>
        <v>0.27500000000000002</v>
      </c>
    </row>
    <row r="5" spans="1:9">
      <c r="A5" t="s">
        <v>87</v>
      </c>
      <c r="B5" s="3">
        <v>45076</v>
      </c>
      <c r="C5" t="s">
        <v>185</v>
      </c>
      <c r="D5" t="s">
        <v>206</v>
      </c>
      <c r="E5" t="s">
        <v>196</v>
      </c>
      <c r="F5" t="s">
        <v>90</v>
      </c>
      <c r="G5" s="4">
        <v>3712.5</v>
      </c>
      <c r="H5" s="4">
        <v>1009</v>
      </c>
      <c r="I5" s="5">
        <f>I7</f>
        <v>0.1368</v>
      </c>
    </row>
    <row r="6" spans="1:9">
      <c r="A6" t="s">
        <v>91</v>
      </c>
      <c r="B6" s="3">
        <v>45076</v>
      </c>
      <c r="C6" t="s">
        <v>190</v>
      </c>
      <c r="D6" t="s">
        <v>205</v>
      </c>
      <c r="E6" t="s">
        <v>195</v>
      </c>
      <c r="F6" t="s">
        <v>90</v>
      </c>
      <c r="G6" s="4">
        <v>4994</v>
      </c>
      <c r="H6" s="4">
        <v>779</v>
      </c>
      <c r="I6" s="5">
        <f t="shared" ref="I6:I30" si="0">IFERROR(H6/G6,0)</f>
        <v>0.15598718462154584</v>
      </c>
    </row>
    <row r="7" spans="1:9">
      <c r="A7" t="s">
        <v>95</v>
      </c>
      <c r="B7" s="3">
        <v>45076</v>
      </c>
      <c r="C7" t="s">
        <v>188</v>
      </c>
      <c r="D7" t="s">
        <v>205</v>
      </c>
      <c r="E7" t="s">
        <v>195</v>
      </c>
      <c r="F7" t="s">
        <v>23</v>
      </c>
      <c r="G7" s="4">
        <v>5000</v>
      </c>
      <c r="H7" s="4">
        <v>684</v>
      </c>
      <c r="I7" s="5">
        <f t="shared" si="0"/>
        <v>0.1368</v>
      </c>
    </row>
    <row r="8" spans="1:9">
      <c r="A8" t="s">
        <v>98</v>
      </c>
      <c r="B8" s="3">
        <v>45077</v>
      </c>
      <c r="C8" t="s">
        <v>180</v>
      </c>
      <c r="D8" t="s">
        <v>204</v>
      </c>
      <c r="E8" t="s">
        <v>197</v>
      </c>
      <c r="F8" t="s">
        <v>11</v>
      </c>
      <c r="G8" s="4">
        <v>6100</v>
      </c>
      <c r="H8" s="4">
        <v>544</v>
      </c>
      <c r="I8" s="5">
        <f t="shared" si="0"/>
        <v>8.9180327868852466E-2</v>
      </c>
    </row>
    <row r="9" spans="1:9">
      <c r="A9" t="s">
        <v>101</v>
      </c>
      <c r="B9" s="3">
        <v>45077</v>
      </c>
      <c r="C9" t="s">
        <v>184</v>
      </c>
      <c r="D9" t="s">
        <v>204</v>
      </c>
      <c r="E9" t="s">
        <v>197</v>
      </c>
      <c r="F9" t="s">
        <v>11</v>
      </c>
      <c r="G9" s="4">
        <v>4625</v>
      </c>
      <c r="H9" s="4">
        <v>670</v>
      </c>
      <c r="I9" s="5">
        <f t="shared" si="0"/>
        <v>0.14486486486486486</v>
      </c>
    </row>
    <row r="10" spans="1:9">
      <c r="A10" t="s">
        <v>104</v>
      </c>
      <c r="B10" s="3">
        <v>45077</v>
      </c>
      <c r="C10" t="s">
        <v>170</v>
      </c>
      <c r="D10" t="s">
        <v>204</v>
      </c>
      <c r="E10" t="s">
        <v>197</v>
      </c>
      <c r="F10" t="s">
        <v>11</v>
      </c>
      <c r="G10" s="4">
        <v>3800</v>
      </c>
      <c r="H10" s="4">
        <v>2045</v>
      </c>
      <c r="I10" s="5">
        <f t="shared" si="0"/>
        <v>0.53815789473684206</v>
      </c>
    </row>
    <row r="11" spans="1:9">
      <c r="A11" t="s">
        <v>107</v>
      </c>
      <c r="B11" s="3">
        <v>45077</v>
      </c>
      <c r="C11" t="s">
        <v>167</v>
      </c>
      <c r="D11" t="s">
        <v>204</v>
      </c>
      <c r="E11" t="s">
        <v>197</v>
      </c>
      <c r="F11" t="s">
        <v>32</v>
      </c>
      <c r="G11" s="4">
        <v>3600</v>
      </c>
      <c r="H11" s="4">
        <v>1564</v>
      </c>
      <c r="I11" s="5">
        <f t="shared" si="0"/>
        <v>0.43444444444444447</v>
      </c>
    </row>
    <row r="12" spans="1:9">
      <c r="A12" t="s">
        <v>109</v>
      </c>
      <c r="B12" s="3">
        <v>45077</v>
      </c>
      <c r="C12" t="s">
        <v>192</v>
      </c>
      <c r="D12" t="s">
        <v>204</v>
      </c>
      <c r="E12" t="s">
        <v>197</v>
      </c>
      <c r="F12" t="s">
        <v>23</v>
      </c>
      <c r="G12" s="4">
        <v>5100</v>
      </c>
      <c r="H12" s="4">
        <v>1220</v>
      </c>
      <c r="I12" s="5">
        <f t="shared" si="0"/>
        <v>0.23921568627450981</v>
      </c>
    </row>
    <row r="13" spans="1:9">
      <c r="A13" t="s">
        <v>111</v>
      </c>
      <c r="B13" s="3">
        <v>45077</v>
      </c>
      <c r="C13" t="s">
        <v>186</v>
      </c>
      <c r="D13" t="s">
        <v>204</v>
      </c>
      <c r="E13" t="s">
        <v>197</v>
      </c>
      <c r="F13" t="s">
        <v>23</v>
      </c>
      <c r="G13" s="4">
        <v>4750</v>
      </c>
      <c r="H13" s="4">
        <v>1435</v>
      </c>
      <c r="I13" s="5">
        <f t="shared" si="0"/>
        <v>0.30210526315789471</v>
      </c>
    </row>
    <row r="14" spans="1:9">
      <c r="A14" t="s">
        <v>114</v>
      </c>
      <c r="B14" s="3">
        <v>45077</v>
      </c>
      <c r="C14" t="s">
        <v>172</v>
      </c>
      <c r="D14" t="s">
        <v>205</v>
      </c>
      <c r="E14" t="s">
        <v>195</v>
      </c>
      <c r="F14" t="s">
        <v>11</v>
      </c>
      <c r="G14" s="4">
        <v>6000</v>
      </c>
      <c r="H14" s="4">
        <v>998</v>
      </c>
      <c r="I14" s="5">
        <f t="shared" si="0"/>
        <v>0.16633333333333333</v>
      </c>
    </row>
    <row r="15" spans="1:9">
      <c r="A15" t="s">
        <v>117</v>
      </c>
      <c r="B15" s="3">
        <v>45077</v>
      </c>
      <c r="C15" t="s">
        <v>182</v>
      </c>
      <c r="D15" t="s">
        <v>203</v>
      </c>
      <c r="E15" t="s">
        <v>194</v>
      </c>
      <c r="F15" t="s">
        <v>23</v>
      </c>
      <c r="G15" s="4">
        <v>4500</v>
      </c>
      <c r="H15" s="4">
        <v>780</v>
      </c>
      <c r="I15" s="5">
        <f t="shared" si="0"/>
        <v>0.17333333333333334</v>
      </c>
    </row>
    <row r="16" spans="1:9">
      <c r="A16" t="s">
        <v>122</v>
      </c>
      <c r="B16" s="3">
        <v>45078</v>
      </c>
      <c r="C16" t="s">
        <v>174</v>
      </c>
      <c r="D16" t="s">
        <v>203</v>
      </c>
      <c r="E16" t="s">
        <v>194</v>
      </c>
      <c r="F16" t="s">
        <v>32</v>
      </c>
      <c r="G16" s="4">
        <v>4994</v>
      </c>
      <c r="H16" s="4">
        <v>1044</v>
      </c>
      <c r="I16" s="5">
        <f t="shared" si="0"/>
        <v>0.20905086103323989</v>
      </c>
    </row>
    <row r="17" spans="1:9">
      <c r="A17" t="s">
        <v>124</v>
      </c>
      <c r="B17" s="3">
        <v>45078</v>
      </c>
      <c r="C17" t="s">
        <v>191</v>
      </c>
      <c r="D17" t="s">
        <v>203</v>
      </c>
      <c r="E17" t="s">
        <v>194</v>
      </c>
      <c r="F17" t="s">
        <v>11</v>
      </c>
      <c r="G17" s="4">
        <v>3712.5</v>
      </c>
      <c r="H17" s="4">
        <v>1222</v>
      </c>
      <c r="I17" s="5">
        <f t="shared" si="0"/>
        <v>0.32915824915824915</v>
      </c>
    </row>
    <row r="18" spans="1:9">
      <c r="A18" t="s">
        <v>127</v>
      </c>
      <c r="B18" s="3">
        <v>45078</v>
      </c>
      <c r="C18" t="s">
        <v>189</v>
      </c>
      <c r="D18" t="s">
        <v>203</v>
      </c>
      <c r="E18" t="s">
        <v>194</v>
      </c>
      <c r="F18" t="s">
        <v>11</v>
      </c>
      <c r="G18" s="4">
        <v>4950</v>
      </c>
      <c r="H18" s="4">
        <v>1065</v>
      </c>
      <c r="I18" s="5">
        <f t="shared" si="0"/>
        <v>0.21515151515151515</v>
      </c>
    </row>
    <row r="19" spans="1:9">
      <c r="A19" t="s">
        <v>130</v>
      </c>
      <c r="B19" s="3">
        <v>45078</v>
      </c>
      <c r="C19" t="s">
        <v>169</v>
      </c>
      <c r="D19" t="s">
        <v>205</v>
      </c>
      <c r="E19" t="s">
        <v>195</v>
      </c>
      <c r="F19" t="s">
        <v>11</v>
      </c>
      <c r="G19" s="4">
        <v>4750</v>
      </c>
      <c r="H19" s="4">
        <v>810</v>
      </c>
      <c r="I19" s="5">
        <f t="shared" si="0"/>
        <v>0.17052631578947369</v>
      </c>
    </row>
    <row r="20" spans="1:9">
      <c r="A20" t="s">
        <v>133</v>
      </c>
      <c r="B20" s="3">
        <v>45078</v>
      </c>
      <c r="C20" t="s">
        <v>168</v>
      </c>
      <c r="D20" t="s">
        <v>205</v>
      </c>
      <c r="E20" t="s">
        <v>195</v>
      </c>
      <c r="F20" t="s">
        <v>11</v>
      </c>
      <c r="G20" s="4">
        <v>7320</v>
      </c>
      <c r="H20" s="4">
        <v>933</v>
      </c>
      <c r="I20" s="5">
        <f t="shared" si="0"/>
        <v>0.12745901639344262</v>
      </c>
    </row>
    <row r="21" spans="1:9">
      <c r="A21" t="s">
        <v>136</v>
      </c>
      <c r="B21" s="3">
        <v>45078</v>
      </c>
      <c r="C21" t="s">
        <v>166</v>
      </c>
      <c r="D21" t="s">
        <v>203</v>
      </c>
      <c r="E21" t="s">
        <v>194</v>
      </c>
      <c r="F21" t="s">
        <v>11</v>
      </c>
      <c r="G21" s="4">
        <v>5087.5</v>
      </c>
      <c r="H21" s="4">
        <v>655</v>
      </c>
      <c r="I21" s="5">
        <f t="shared" si="0"/>
        <v>0.12874692874692875</v>
      </c>
    </row>
    <row r="22" spans="1:9">
      <c r="A22" t="s">
        <v>139</v>
      </c>
      <c r="B22" s="3">
        <v>45078</v>
      </c>
      <c r="C22" t="s">
        <v>178</v>
      </c>
      <c r="D22" t="s">
        <v>203</v>
      </c>
      <c r="E22" t="s">
        <v>194</v>
      </c>
      <c r="F22" t="s">
        <v>11</v>
      </c>
      <c r="G22" s="4">
        <v>4500</v>
      </c>
      <c r="H22" s="4">
        <v>722</v>
      </c>
      <c r="I22" s="5">
        <f t="shared" si="0"/>
        <v>0.16044444444444445</v>
      </c>
    </row>
    <row r="23" spans="1:9">
      <c r="A23" t="s">
        <v>142</v>
      </c>
      <c r="B23" s="3">
        <v>45078</v>
      </c>
      <c r="C23" t="s">
        <v>177</v>
      </c>
      <c r="D23" t="s">
        <v>203</v>
      </c>
      <c r="E23" t="s">
        <v>194</v>
      </c>
      <c r="F23" t="s">
        <v>32</v>
      </c>
      <c r="G23" s="4">
        <v>4250</v>
      </c>
      <c r="H23" s="4">
        <v>901</v>
      </c>
      <c r="I23" s="5">
        <f t="shared" si="0"/>
        <v>0.21199999999999999</v>
      </c>
    </row>
    <row r="24" spans="1:9">
      <c r="A24" t="s">
        <v>145</v>
      </c>
      <c r="B24" s="3">
        <v>45079</v>
      </c>
      <c r="C24" t="s">
        <v>183</v>
      </c>
      <c r="D24" t="s">
        <v>203</v>
      </c>
      <c r="E24" t="s">
        <v>194</v>
      </c>
      <c r="F24" t="s">
        <v>15</v>
      </c>
      <c r="G24" s="4">
        <v>5250</v>
      </c>
      <c r="H24" s="4">
        <v>1349</v>
      </c>
      <c r="I24" s="5">
        <f t="shared" si="0"/>
        <v>0.25695238095238093</v>
      </c>
    </row>
    <row r="25" spans="1:9">
      <c r="A25" t="s">
        <v>148</v>
      </c>
      <c r="B25" s="3">
        <v>45079</v>
      </c>
      <c r="C25" t="s">
        <v>171</v>
      </c>
      <c r="D25" t="s">
        <v>206</v>
      </c>
      <c r="E25" t="s">
        <v>196</v>
      </c>
      <c r="F25" t="s">
        <v>15</v>
      </c>
      <c r="G25" s="4">
        <v>6500</v>
      </c>
      <c r="H25" s="4">
        <v>1288</v>
      </c>
      <c r="I25" s="5">
        <f t="shared" si="0"/>
        <v>0.19815384615384615</v>
      </c>
    </row>
    <row r="26" spans="1:9">
      <c r="A26" t="s">
        <v>151</v>
      </c>
      <c r="B26" s="3">
        <v>45079</v>
      </c>
      <c r="C26" t="s">
        <v>173</v>
      </c>
      <c r="D26" t="s">
        <v>206</v>
      </c>
      <c r="E26" t="s">
        <v>196</v>
      </c>
      <c r="F26" t="s">
        <v>15</v>
      </c>
      <c r="G26" s="4">
        <v>7500</v>
      </c>
      <c r="H26" s="4">
        <v>1664</v>
      </c>
      <c r="I26" s="5">
        <f t="shared" si="0"/>
        <v>0.22186666666666666</v>
      </c>
    </row>
    <row r="27" spans="1:9">
      <c r="A27" t="s">
        <v>154</v>
      </c>
      <c r="B27" s="3">
        <v>45079</v>
      </c>
      <c r="C27" t="s">
        <v>179</v>
      </c>
      <c r="D27" t="s">
        <v>206</v>
      </c>
      <c r="E27" t="s">
        <v>196</v>
      </c>
      <c r="F27" t="s">
        <v>11</v>
      </c>
      <c r="G27" s="4">
        <v>5500</v>
      </c>
      <c r="H27" s="4">
        <v>1320</v>
      </c>
      <c r="I27" s="5">
        <f t="shared" si="0"/>
        <v>0.24</v>
      </c>
    </row>
    <row r="28" spans="1:9">
      <c r="A28" t="s">
        <v>157</v>
      </c>
      <c r="B28" s="3">
        <v>45079</v>
      </c>
      <c r="C28" t="s">
        <v>175</v>
      </c>
      <c r="D28" t="s">
        <v>206</v>
      </c>
      <c r="E28" t="s">
        <v>196</v>
      </c>
      <c r="F28" t="s">
        <v>11</v>
      </c>
      <c r="G28" s="4">
        <v>4625</v>
      </c>
      <c r="H28" s="4">
        <v>1001</v>
      </c>
      <c r="I28" s="5">
        <f t="shared" si="0"/>
        <v>0.21643243243243243</v>
      </c>
    </row>
    <row r="29" spans="1:9">
      <c r="A29" t="s">
        <v>160</v>
      </c>
      <c r="B29" s="3">
        <v>45079</v>
      </c>
      <c r="C29" t="s">
        <v>176</v>
      </c>
      <c r="D29" t="s">
        <v>206</v>
      </c>
      <c r="E29" t="s">
        <v>196</v>
      </c>
      <c r="F29" t="s">
        <v>11</v>
      </c>
      <c r="G29" s="4">
        <v>4500</v>
      </c>
      <c r="H29" s="4">
        <v>960</v>
      </c>
      <c r="I29" s="5">
        <f t="shared" si="0"/>
        <v>0.21333333333333335</v>
      </c>
    </row>
    <row r="30" spans="1:9">
      <c r="A30" t="s">
        <v>163</v>
      </c>
      <c r="B30" s="3">
        <v>45079</v>
      </c>
      <c r="C30" t="s">
        <v>181</v>
      </c>
      <c r="D30" t="s">
        <v>206</v>
      </c>
      <c r="E30" t="s">
        <v>196</v>
      </c>
      <c r="F30" t="s">
        <v>32</v>
      </c>
      <c r="G30" s="4">
        <v>5400</v>
      </c>
      <c r="H30" s="4">
        <v>540</v>
      </c>
      <c r="I30" s="5">
        <f t="shared" si="0"/>
        <v>0.1</v>
      </c>
    </row>
    <row r="31" spans="1:9">
      <c r="A31" t="s">
        <v>207</v>
      </c>
      <c r="B31" s="3">
        <v>45079</v>
      </c>
      <c r="C31" t="s">
        <v>183</v>
      </c>
      <c r="D31" t="s">
        <v>208</v>
      </c>
      <c r="E31" t="s">
        <v>196</v>
      </c>
      <c r="F31" t="s">
        <v>32</v>
      </c>
      <c r="G31" s="4">
        <v>5400</v>
      </c>
      <c r="H31" s="4">
        <v>540</v>
      </c>
      <c r="I31" s="8">
        <f>IFERROR(H31/G31,0)</f>
        <v>0.1</v>
      </c>
    </row>
    <row r="34" spans="11:11">
      <c r="K34" s="6" t="e">
        <f>AVERAGE(K3:K33)</f>
        <v>#DIV/0!</v>
      </c>
    </row>
    <row r="35" spans="11:11">
      <c r="K35" s="6"/>
    </row>
    <row r="36" spans="11:11">
      <c r="K36" s="6"/>
    </row>
    <row r="37" spans="11:11">
      <c r="K37" s="6"/>
    </row>
    <row r="38" spans="11:11">
      <c r="K38" s="6"/>
    </row>
    <row r="39" spans="11:11">
      <c r="K39" s="6"/>
    </row>
    <row r="40" spans="11:11">
      <c r="K40" s="6"/>
    </row>
    <row r="41" spans="11:11">
      <c r="K41" s="6"/>
    </row>
    <row r="42" spans="11:11">
      <c r="K42" s="6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Start</vt:lpstr>
      <vt:lpstr>Data Cleaning Start (2)</vt:lpstr>
      <vt:lpstr>Client</vt:lpstr>
      <vt:lpstr>State</vt:lpstr>
      <vt:lpstr>Payment_dim</vt:lpstr>
      <vt:lpstr>Department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2023-05-29T07:26:00Z</dcterms:created>
  <dcterms:modified xsi:type="dcterms:W3CDTF">2026-02-13T02:39:48Z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533CA7836ED8470CBA981A3954D2D823_13</vt:lpwstr>
  </property>
  <property fmtid="{D5CDD505-2E9C-101B-9397-08002B2CF9AE}" pid="3" name="KSOProductBuildVer">
    <vt:lpwstr>2057-12.2.0.23197</vt:lpwstr>
  </property>
</Properties>
</file>